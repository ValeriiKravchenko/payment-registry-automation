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xr:revisionPtr revIDLastSave="0" documentId="13_ncr:1_{54B7729B-55BB-447E-9BD4-737CBF6197FE}" xr6:coauthVersionLast="47" xr6:coauthVersionMax="47" xr10:uidLastSave="{00000000-0000-0000-0000-000000000000}"/>
  <bookViews>
    <workbookView xWindow="-110" yWindow="-110" windowWidth="25420" windowHeight="16300" activeTab="1" xr2:uid="{00000000-000D-0000-FFFF-FFFF00000000}"/>
  </bookViews>
  <sheets>
    <sheet name="Параметры" sheetId="1" r:id="rId1"/>
    <sheet name="Сводная" sheetId="5" r:id="rId2"/>
    <sheet name="Реестры" sheetId="4" r:id="rId3"/>
    <sheet name="Справочник договоров" sheetId="2" r:id="rId4"/>
  </sheets>
  <definedNames>
    <definedName name="ExternalData_2" localSheetId="2" hidden="1">Реестры!$A$1:$K$217</definedName>
    <definedName name="Срез_Окончание_счёта">#N/A</definedName>
  </definedNames>
  <calcPr calcId="191029"/>
  <pivotCaches>
    <pivotCache cacheId="13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 a="1"/>
  <c r="B2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F1B3006-B8E0-42FB-8076-EECB5C8D1D09}" keepAlive="1" name="Запрос — fParam" description="Соединение с запросом &quot;fParam&quot; в книге." type="5" refreshedVersion="0" background="1">
    <dbPr connection="Provider=Microsoft.Mashup.OleDb.1;Data Source=$Workbook$;Location=fParam;Extended Properties=&quot;&quot;" command="SELECT * FROM [fParam]"/>
  </connection>
  <connection id="2" xr16:uid="{8813F68C-BA36-40FB-93FC-E1FEE56F8BE5}" keepAlive="1" name="Запрос — fReadRegistry" description="Соединение с запросом &quot;fReadRegistry&quot; в книге." type="5" refreshedVersion="0" background="1">
    <dbPr connection="Provider=Microsoft.Mashup.OleDb.1;Data Source=$Workbook$;Location=fReadRegistry;Extended Properties=&quot;&quot;" command="SELECT * FROM [fReadRegistry]"/>
  </connection>
  <connection id="3" xr16:uid="{714448B3-0151-4C12-BB21-EC58ACF43BD2}" keepAlive="1" name="Запрос — Договоры" description="Соединение с запросом &quot;Договоры&quot; в книге." type="5" refreshedVersion="8" background="1" saveData="1">
    <dbPr connection="Provider=Microsoft.Mashup.OleDb.1;Data Source=$Workbook$;Location=Договоры;Extended Properties=&quot;&quot;" command="SELECT * FROM [Договоры]"/>
  </connection>
  <connection id="4" xr16:uid="{088EBD9D-985D-48EB-A8F9-45BEE09A8750}" keepAlive="1" name="Запрос — Реестры" description="Соединение с запросом &quot;Реестры&quot; в книге." type="5" refreshedVersion="8" background="1" saveData="1">
    <dbPr connection="Provider=Microsoft.Mashup.OleDb.1;Data Source=$Workbook$;Location=Реестры;Extended Properties=&quot;&quot;" command="SELECT * FROM [Реестры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<sst xmlns="http://schemas.openxmlformats.org/spreadsheetml/2006/main" count="1620" uniqueCount="455">
  <si>
    <t>Param</t>
  </si>
  <si>
    <t>Value</t>
  </si>
  <si>
    <t>Path</t>
  </si>
  <si>
    <t>Договор</t>
  </si>
  <si>
    <t>Филиал</t>
  </si>
  <si>
    <t>Западный филиал</t>
  </si>
  <si>
    <t>Восточный филиал</t>
  </si>
  <si>
    <t>Северный филиал</t>
  </si>
  <si>
    <t>Южный филиал</t>
  </si>
  <si>
    <t>9901542004</t>
  </si>
  <si>
    <t>9903320452</t>
  </si>
  <si>
    <t>9912034628</t>
  </si>
  <si>
    <t>9913160265</t>
  </si>
  <si>
    <t>9914862807</t>
  </si>
  <si>
    <t>9915629378</t>
  </si>
  <si>
    <t>9915988000</t>
  </si>
  <si>
    <t>9916376341</t>
  </si>
  <si>
    <t>9917313932</t>
  </si>
  <si>
    <t>9918909714</t>
  </si>
  <si>
    <t>9928215876</t>
  </si>
  <si>
    <t>9929968745</t>
  </si>
  <si>
    <t>9932203407</t>
  </si>
  <si>
    <t>9933757517</t>
  </si>
  <si>
    <t>9938601278</t>
  </si>
  <si>
    <t>9947866880</t>
  </si>
  <si>
    <t>9948793812</t>
  </si>
  <si>
    <t>9953438575</t>
  </si>
  <si>
    <t>9953522449</t>
  </si>
  <si>
    <t>9956366902</t>
  </si>
  <si>
    <t>9956669073</t>
  </si>
  <si>
    <t>9963087744</t>
  </si>
  <si>
    <t>9964708126</t>
  </si>
  <si>
    <t>9967446522</t>
  </si>
  <si>
    <t>9967962320</t>
  </si>
  <si>
    <t>9968846905</t>
  </si>
  <si>
    <t>9968932553</t>
  </si>
  <si>
    <t>9973571250</t>
  </si>
  <si>
    <t>9975134554</t>
  </si>
  <si>
    <t>9976848884</t>
  </si>
  <si>
    <t>9977244482</t>
  </si>
  <si>
    <t>9978721495</t>
  </si>
  <si>
    <t>9982437103</t>
  </si>
  <si>
    <t>9989892850</t>
  </si>
  <si>
    <t>9990503438</t>
  </si>
  <si>
    <t>9991186040</t>
  </si>
  <si>
    <t>9994578218</t>
  </si>
  <si>
    <t>9995901695</t>
  </si>
  <si>
    <t>9996275386</t>
  </si>
  <si>
    <t>9997054446</t>
  </si>
  <si>
    <t>Номер реестра</t>
  </si>
  <si>
    <t>Окончание счёта</t>
  </si>
  <si>
    <t>Дата платежа</t>
  </si>
  <si>
    <t>№ договора</t>
  </si>
  <si>
    <t>Плательщик</t>
  </si>
  <si>
    <t>Назначение платежа</t>
  </si>
  <si>
    <t>Принято</t>
  </si>
  <si>
    <t>Комиссия</t>
  </si>
  <si>
    <t>Перечислено</t>
  </si>
  <si>
    <t>Проверка суммы</t>
  </si>
  <si>
    <t>1201</t>
  </si>
  <si>
    <t>4417</t>
  </si>
  <si>
    <t>Фёдорова Л.Г.</t>
  </si>
  <si>
    <t>Оплата по договору 9995901695 за водоотведение март 2026</t>
  </si>
  <si>
    <t>ОК</t>
  </si>
  <si>
    <t>Козлов В.Л.</t>
  </si>
  <si>
    <t>Оплата по договору 9975134554 за водоснабжение февраль 2026</t>
  </si>
  <si>
    <t>Лебедева Л.Д.</t>
  </si>
  <si>
    <t>Смирнов А.Е.</t>
  </si>
  <si>
    <t>Оплата по договору 9938601278 за водоснабжение и водоотведение март 2026</t>
  </si>
  <si>
    <t>Новиков С.Б.</t>
  </si>
  <si>
    <t>Оплата по договору 9915988000 за водоснабжение и водоотведение январь 2026</t>
  </si>
  <si>
    <t>Морозова Б.Н.</t>
  </si>
  <si>
    <t>Оплата по договору 9928215876 за водоотведение февраль 2026</t>
  </si>
  <si>
    <t>Иванов С.Д.</t>
  </si>
  <si>
    <t>Оплата по договору 9996275386 за водоотведение февраль 2026</t>
  </si>
  <si>
    <t>Иванов Л.К.</t>
  </si>
  <si>
    <t>Оплата по договору 9953522449 за водоотведение март 2026</t>
  </si>
  <si>
    <t>Фёдорова К.П.</t>
  </si>
  <si>
    <t>Оплата по договору 9938601278 за водоснабжение и водоотведение февраль 2026</t>
  </si>
  <si>
    <t>Козлов Л.В.</t>
  </si>
  <si>
    <t>Оплата по договору 9967446522 за водоснабжение март 2026</t>
  </si>
  <si>
    <t>Смирнов А.Н.</t>
  </si>
  <si>
    <t>Оплата по договору 9990503438 за водоснабжение и водоотведение январь 2026</t>
  </si>
  <si>
    <t>1202</t>
  </si>
  <si>
    <t>7302</t>
  </si>
  <si>
    <t>Петрова В.М.</t>
  </si>
  <si>
    <t>Оплата по договору 9933757517 за водоснабжение январь 2026</t>
  </si>
  <si>
    <t>Васильева И.И.</t>
  </si>
  <si>
    <t>Оплата по договору 9903320452 за водоотведение январь 2026</t>
  </si>
  <si>
    <t>Новиков Н.Л.</t>
  </si>
  <si>
    <t>Оплата по договору 9916376341 за водоотведение февраль 2026</t>
  </si>
  <si>
    <t>Смирнов Н.М.</t>
  </si>
  <si>
    <t>Оплата по договору 9994578218 за водоснабжение январь 2026</t>
  </si>
  <si>
    <t>Оплата по договору 9964708126 за водоснабжение и водоотведение январь 2026</t>
  </si>
  <si>
    <t>Васильева Д.О.</t>
  </si>
  <si>
    <t>Оплата по договору 9968846905 за водоснабжение февраль 2026</t>
  </si>
  <si>
    <t>Попов К.К.</t>
  </si>
  <si>
    <t>Оплата по договору 9967962320 за водоотведение февраль 2026</t>
  </si>
  <si>
    <t>Егорова Б.С.</t>
  </si>
  <si>
    <t>Оплата по договору 9964708126 за водоснабжение январь 2026</t>
  </si>
  <si>
    <t>Волков В.А.</t>
  </si>
  <si>
    <t>Оплата по договору 9916376341 за водоотведение январь 2026</t>
  </si>
  <si>
    <t>Кузнецова М.Д.</t>
  </si>
  <si>
    <t>Козлов Е.О.</t>
  </si>
  <si>
    <t>Оплата по договору 9968846905 за водоснабжение март 2026</t>
  </si>
  <si>
    <t>Попов Д.Б.</t>
  </si>
  <si>
    <t>Оплата по договору 9978721495 за водоснабжение февраль 2026</t>
  </si>
  <si>
    <t>1203</t>
  </si>
  <si>
    <t>Морозова Б.Л.</t>
  </si>
  <si>
    <t>Оплата по договору 9903320452 за водоснабжение и водоотведение январь 2026</t>
  </si>
  <si>
    <t>Фёдорова М.Г.</t>
  </si>
  <si>
    <t>Оплата по договору 9915629378 за водоснабжение январь 2026</t>
  </si>
  <si>
    <t>Смирнов Е.Л.</t>
  </si>
  <si>
    <t>Оплата по договору 9916376341 за водоснабжение январь 2026</t>
  </si>
  <si>
    <t>Соколов Г.О.</t>
  </si>
  <si>
    <t>Оплата по договору 9918909714 за водоснабжение и водоотведение январь 2026</t>
  </si>
  <si>
    <t>Смирнов О.И.</t>
  </si>
  <si>
    <t>Оплата по договору 9991186040 за водоотведение март 2026</t>
  </si>
  <si>
    <t>Лебедева М.Д.</t>
  </si>
  <si>
    <t>Оплата по договору 9967446522 за водоснабжение и водоотведение январь 2026</t>
  </si>
  <si>
    <t>Волков В.Б.</t>
  </si>
  <si>
    <t>Оплата по договору 9964708126 за водоотведение февраль 2026</t>
  </si>
  <si>
    <t>Попов Г.В.</t>
  </si>
  <si>
    <t>Оплата по договору 9994578218 за водоснабжение и водоотведение февраль 2026</t>
  </si>
  <si>
    <t>Морозова П.Д.</t>
  </si>
  <si>
    <t>Оплата по договору 9978721495 за водоотведение март 2026</t>
  </si>
  <si>
    <t>Козлов Г.Л.</t>
  </si>
  <si>
    <t>Оплата по договору 9953438575 за водоотведение февраль 2026</t>
  </si>
  <si>
    <t>1204</t>
  </si>
  <si>
    <t>Козлов К.Г.</t>
  </si>
  <si>
    <t>Оплата по договору 9996275386 за водоснабжение и водоотведение февраль 2026</t>
  </si>
  <si>
    <t>Смирнов Б.Л.</t>
  </si>
  <si>
    <t>Оплата по договору 9996275386 за водоснабжение февраль 2026</t>
  </si>
  <si>
    <t>Оплата по договору 9978721495 за водоотведение февраль 2026</t>
  </si>
  <si>
    <t>Попов К.Е.</t>
  </si>
  <si>
    <t>Оплата по договору 9956669073 за водоотведение январь 2026</t>
  </si>
  <si>
    <t>Соколов А.В.</t>
  </si>
  <si>
    <t>Оплата по договору 9913160265 за водоснабжение и водоотведение март 2026</t>
  </si>
  <si>
    <t>Васильева Д.Л.</t>
  </si>
  <si>
    <t>Оплата по договору 9912034628 за водоснабжение и водоотведение февраль 2026</t>
  </si>
  <si>
    <t>Нет в справочнике</t>
  </si>
  <si>
    <t>9953948553</t>
  </si>
  <si>
    <t>Фёдорова Н.Е.</t>
  </si>
  <si>
    <t>Оплата по договору 9953948553 за водоснабжение март 2026</t>
  </si>
  <si>
    <t>Иванов А.П.</t>
  </si>
  <si>
    <t>Оплата по договору 9994578218 за водоснабжение март 2026</t>
  </si>
  <si>
    <t>Волков П.К.</t>
  </si>
  <si>
    <t>Оплата по договору 9956669073 за водоснабжение и водоотведение март 2026</t>
  </si>
  <si>
    <t>Козлов Б.Д.</t>
  </si>
  <si>
    <t>Оплата по договору 9968932553 за водоотведение март 2026</t>
  </si>
  <si>
    <t>Попов Е.С.</t>
  </si>
  <si>
    <t>Оплата по договору 9995901695 за водоснабжение февраль 2026</t>
  </si>
  <si>
    <t>Волков В.О.</t>
  </si>
  <si>
    <t>Оплата по договору 9968932553 за водоотведение январь 2026</t>
  </si>
  <si>
    <t>Смирнов А.Д.</t>
  </si>
  <si>
    <t>1205</t>
  </si>
  <si>
    <t>Смирнов В.П.</t>
  </si>
  <si>
    <t>Оплата по договору 9990503438 за водоснабжение и водоотведение март 2026</t>
  </si>
  <si>
    <t>Кузнецова О.Г.</t>
  </si>
  <si>
    <t>Оплата по договору 9990503438 за водоснабжение январь 2026</t>
  </si>
  <si>
    <t>Егорова И.О.</t>
  </si>
  <si>
    <t>Оплата по договору 9947866880 за водоотведение февраль 2026</t>
  </si>
  <si>
    <t>Петрова И.Н.</t>
  </si>
  <si>
    <t>Оплата по договору 9991186040 за водоотведение январь 2026</t>
  </si>
  <si>
    <t>Иванов А.Б.</t>
  </si>
  <si>
    <t>Оплата по договору 9901542004 за водоотведение март 2026</t>
  </si>
  <si>
    <t>Иванов Д.Г.</t>
  </si>
  <si>
    <t>Оплата по договору 9973571250 за водоснабжение и водоотведение февраль 2026</t>
  </si>
  <si>
    <t>Соколов Л.С.</t>
  </si>
  <si>
    <t>Оплата по договору 9947866880 за водоснабжение и водоотведение январь 2026</t>
  </si>
  <si>
    <t>Егорова Е.Е.</t>
  </si>
  <si>
    <t>Лебедева Е.В.</t>
  </si>
  <si>
    <t>Оплата по договору 9928215876 за водоотведение январь 2026</t>
  </si>
  <si>
    <t>1206</t>
  </si>
  <si>
    <t>Новиков А.В.</t>
  </si>
  <si>
    <t>Оплата по договору 9995901695 за водоотведение январь 2026</t>
  </si>
  <si>
    <t>Морозова М.И.</t>
  </si>
  <si>
    <t>Оплата по договору 9977244482 за водоотведение март 2026</t>
  </si>
  <si>
    <t>Петрова П.М.</t>
  </si>
  <si>
    <t>Оплата по договору 9912034628 за водоснабжение и водоотведение январь 2026</t>
  </si>
  <si>
    <t>Лебедева Г.И.</t>
  </si>
  <si>
    <t>Оплата по договору 9997054446 за водоснабжение март 2026</t>
  </si>
  <si>
    <t>Егорова Л.Е.</t>
  </si>
  <si>
    <t>Оплата по договору 9917313932 за водоотведение февраль 2026</t>
  </si>
  <si>
    <t>Васильева П.Г.</t>
  </si>
  <si>
    <t>Оплата по договору 9991186040 за водоснабжение и водоотведение январь 2026</t>
  </si>
  <si>
    <t>Соколов А.Л.</t>
  </si>
  <si>
    <t>9958125246</t>
  </si>
  <si>
    <t>Морозова В.Б.</t>
  </si>
  <si>
    <t>Оплата по договору 9958125246 за водоснабжение март 2026</t>
  </si>
  <si>
    <t>Васильева П.Д.</t>
  </si>
  <si>
    <t>Оплата по договору 9976848884 за водоснабжение и водоотведение январь 2026</t>
  </si>
  <si>
    <t>Попов А.Б.</t>
  </si>
  <si>
    <t>1207</t>
  </si>
  <si>
    <t>Кузнецова А.Д.</t>
  </si>
  <si>
    <t>Оплата по договору 9956366902 за водоснабжение март 2026</t>
  </si>
  <si>
    <t>Иванов К.Д.</t>
  </si>
  <si>
    <t>Оплата по договору 9947866880 за водоснабжение март 2026</t>
  </si>
  <si>
    <t>Смирнов А.С.</t>
  </si>
  <si>
    <t>Оплата по договору 9948793812 за водоотведение январь 2026</t>
  </si>
  <si>
    <t>Смирнов В.Г.</t>
  </si>
  <si>
    <t>Оплата по договору 9990503438 за водоснабжение март 2026</t>
  </si>
  <si>
    <t>Петрова О.П.</t>
  </si>
  <si>
    <t>Оплата по договору 9991186040 за водоснабжение март 2026</t>
  </si>
  <si>
    <t>Волков М.А.</t>
  </si>
  <si>
    <t>Оплата по договору 9963087744 за водоснабжение и водоотведение февраль 2026</t>
  </si>
  <si>
    <t>Новиков Е.Г.</t>
  </si>
  <si>
    <t>Оплата по договору 9916376341 за водоснабжение и водоотведение февраль 2026</t>
  </si>
  <si>
    <t>Козлов О.Л.</t>
  </si>
  <si>
    <t>Оплата по договору 9929968745 за водоснабжение февраль 2026</t>
  </si>
  <si>
    <t>Егорова Г.Н.</t>
  </si>
  <si>
    <t>Расхождение</t>
  </si>
  <si>
    <t>1208</t>
  </si>
  <si>
    <t>Фёдорова Л.Е.</t>
  </si>
  <si>
    <t>Оплата по договору 9963087744 за водоотведение февраль 2026</t>
  </si>
  <si>
    <t>Новиков Е.Л.</t>
  </si>
  <si>
    <t>Оплата по договору 9903320452 за водоотведение февраль 2026</t>
  </si>
  <si>
    <t>Егорова И.Н.</t>
  </si>
  <si>
    <t>Оплата по договору 9973571250 за водоснабжение и водоотведение январь 2026</t>
  </si>
  <si>
    <t>Новиков Л.И.</t>
  </si>
  <si>
    <t>Оплата по договору 9947866880 за водоснабжение и водоотведение февраль 2026</t>
  </si>
  <si>
    <t>Лебедева В.О.</t>
  </si>
  <si>
    <t>Оплата по договору 9916376341 за водоотведение март 2026</t>
  </si>
  <si>
    <t>Васильева В.П.</t>
  </si>
  <si>
    <t>Оплата по договору 9953438575 за водоснабжение январь 2026</t>
  </si>
  <si>
    <t>Смирнов Б.М.</t>
  </si>
  <si>
    <t>Оплата по договору 9994578218 за водоснабжение и водоотведение январь 2026</t>
  </si>
  <si>
    <t>Попов К.П.</t>
  </si>
  <si>
    <t>Смирнов И.Н.</t>
  </si>
  <si>
    <t>Морозова Б.Б.</t>
  </si>
  <si>
    <t>Оплата по договору 9989892850 за водоснабжение январь 2026</t>
  </si>
  <si>
    <t>1209</t>
  </si>
  <si>
    <t>Волков Б.С.</t>
  </si>
  <si>
    <t>Оплата по договору 9901542004 за водоснабжение март 2026</t>
  </si>
  <si>
    <t>Соколов Н.Б.</t>
  </si>
  <si>
    <t>Оплата по договору 9968932553 за водоснабжение и водоотведение март 2026</t>
  </si>
  <si>
    <t>Оплата по договору 9964708126 за водоснабжение март 2026</t>
  </si>
  <si>
    <t>Соколов Л.Г.</t>
  </si>
  <si>
    <t>Оплата по договору 9953438575 за водоотведение январь 2026</t>
  </si>
  <si>
    <t>Волков Б.И.</t>
  </si>
  <si>
    <t>Оплата по договору 9917313932 за водоснабжение февраль 2026</t>
  </si>
  <si>
    <t>Попов П.К.</t>
  </si>
  <si>
    <t>Оплата по договору 9958125246 за водоснабжение февраль 2026</t>
  </si>
  <si>
    <t>Попов А.Л.</t>
  </si>
  <si>
    <t>Оплата по договору 9989892850 за водоснабжение и водоотведение февраль 2026</t>
  </si>
  <si>
    <t>Лебедева М.К.</t>
  </si>
  <si>
    <t>Оплата по договору 9912034628 за водоснабжение февраль 2026</t>
  </si>
  <si>
    <t>Фёдорова М.Е.</t>
  </si>
  <si>
    <t>Петрова Е.С.</t>
  </si>
  <si>
    <t>Оплата по договору 9973571250 за водоотведение март 2026</t>
  </si>
  <si>
    <t>Морозова Е.О.</t>
  </si>
  <si>
    <t>Оплата по договору 9978721495 за водоснабжение январь 2026</t>
  </si>
  <si>
    <t>Петрова П.Е.</t>
  </si>
  <si>
    <t>Новиков М.И.</t>
  </si>
  <si>
    <t>Оплата по договору 9915629378 за водоотведение март 2026</t>
  </si>
  <si>
    <t>Егорова Б.Л.</t>
  </si>
  <si>
    <t>Оплата по договору 9997054446 за водоотведение январь 2026</t>
  </si>
  <si>
    <t>1210</t>
  </si>
  <si>
    <t>Егорова Г.О.</t>
  </si>
  <si>
    <t>Соколов Г.Б.</t>
  </si>
  <si>
    <t>Лебедева Б.Г.</t>
  </si>
  <si>
    <t>Новиков Е.П.</t>
  </si>
  <si>
    <t>Попов Л.Г.</t>
  </si>
  <si>
    <t>Оплата по договору 9915988000 за водоснабжение февраль 2026</t>
  </si>
  <si>
    <t>Лебедева Д.А.</t>
  </si>
  <si>
    <t>Оплата по договору 9947866880 за водоснабжение январь 2026</t>
  </si>
  <si>
    <t>Козлов Б.П.</t>
  </si>
  <si>
    <t>Оплата по договору 9901542004 за водоснабжение февраль 2026</t>
  </si>
  <si>
    <t>Смирнов М.И.</t>
  </si>
  <si>
    <t>Оплата по договору 9938601278 за водоснабжение и водоотведение январь 2026</t>
  </si>
  <si>
    <t>Егорова Д.И.</t>
  </si>
  <si>
    <t>Оплата по договору 9990503438 за водоотведение март 2026</t>
  </si>
  <si>
    <t>Кузнецова Г.П.</t>
  </si>
  <si>
    <t>Васильева С.М.</t>
  </si>
  <si>
    <t>Оплата по договору 9978721495 за водоснабжение и водоотведение февраль 2026</t>
  </si>
  <si>
    <t>1211</t>
  </si>
  <si>
    <t>Лебедева К.Н.</t>
  </si>
  <si>
    <t>Оплата по договору 9929968745 за водоотведение март 2026</t>
  </si>
  <si>
    <t>Егорова А.Б.</t>
  </si>
  <si>
    <t>Попов М.И.</t>
  </si>
  <si>
    <t>Оплата по договору 9968932553 за водоотведение февраль 2026</t>
  </si>
  <si>
    <t>Попов Г.К.</t>
  </si>
  <si>
    <t>Оплата по договору 9997054446 за водоснабжение и водоотведение январь 2026</t>
  </si>
  <si>
    <t>Морозова Д.К.</t>
  </si>
  <si>
    <t>Оплата по договору 9991186040 за водоснабжение и водоотведение март 2026</t>
  </si>
  <si>
    <t>Соколов И.С.</t>
  </si>
  <si>
    <t>Оплата по договору 9968846905 за водоотведение январь 2026</t>
  </si>
  <si>
    <t>Смирнов С.Н.</t>
  </si>
  <si>
    <t>Оплата по договору 9976848884 за водоотведение февраль 2026</t>
  </si>
  <si>
    <t>Васильева Н.В.</t>
  </si>
  <si>
    <t>Оплата по договору 9967446522 за водоснабжение январь 2026</t>
  </si>
  <si>
    <t>Петрова М.Е.</t>
  </si>
  <si>
    <t>Оплата по договору 9953438575 за водоотведение март 2026</t>
  </si>
  <si>
    <t>Васильева Б.Д.</t>
  </si>
  <si>
    <t>Оплата по договору 9958125246 за водоотведение март 2026</t>
  </si>
  <si>
    <t>Смирнов С.Г.</t>
  </si>
  <si>
    <t>Оплата по договору 9953438575 за водоснабжение и водоотведение март 2026</t>
  </si>
  <si>
    <t>Егорова П.Е.</t>
  </si>
  <si>
    <t>Егорова В.Г.</t>
  </si>
  <si>
    <t>Оплата по договору 9938601278 за водоотведение март 2026</t>
  </si>
  <si>
    <t>1212</t>
  </si>
  <si>
    <t>Петрова Л.И.</t>
  </si>
  <si>
    <t>Оплата по договору 9913160265 за водоснабжение февраль 2026</t>
  </si>
  <si>
    <t>Лебедева М.В.</t>
  </si>
  <si>
    <t>Оплата по договору 9996275386 за водоснабжение март 2026</t>
  </si>
  <si>
    <t>Морозова Б.И.</t>
  </si>
  <si>
    <t>Иванов Г.Л.</t>
  </si>
  <si>
    <t>Оплата по договору 9953522449 за водоснабжение январь 2026</t>
  </si>
  <si>
    <t>Васильева Е.Д.</t>
  </si>
  <si>
    <t>Оплата по договору 9967446522 за водоснабжение и водоотведение февраль 2026</t>
  </si>
  <si>
    <t>Смирнов К.Г.</t>
  </si>
  <si>
    <t>Оплата по договору 9976848884 за водоснабжение январь 2026</t>
  </si>
  <si>
    <t>Лебедева П.Б.</t>
  </si>
  <si>
    <t>Оплата по договору 9963087744 за водоотведение март 2026</t>
  </si>
  <si>
    <t>Лебедева Б.П.</t>
  </si>
  <si>
    <t>Оплата по договору 9913160265 за водоснабжение март 2026</t>
  </si>
  <si>
    <t>Новиков В.С.</t>
  </si>
  <si>
    <t>1213</t>
  </si>
  <si>
    <t>Лебедева Г.Н.</t>
  </si>
  <si>
    <t>Оплата по договору 9975134554 за водоотведение март 2026</t>
  </si>
  <si>
    <t>Волков Н.О.</t>
  </si>
  <si>
    <t>Оплата по договору 9914862807 за водоснабжение февраль 2026</t>
  </si>
  <si>
    <t>Попов В.И.</t>
  </si>
  <si>
    <t>Соколов А.Н.</t>
  </si>
  <si>
    <t>Оплата по договору 9989892850 за водоснабжение март 2026</t>
  </si>
  <si>
    <t>Иванов С.Б.</t>
  </si>
  <si>
    <t>Оплата по договору 9948793812 за водоснабжение январь 2026</t>
  </si>
  <si>
    <t>Фёдорова И.Н.</t>
  </si>
  <si>
    <t>Оплата по договору 9963087744 за водоснабжение январь 2026</t>
  </si>
  <si>
    <t>Новиков И.П.</t>
  </si>
  <si>
    <t>Оплата по договору 9929968745 за водоснабжение и водоотведение март 2026</t>
  </si>
  <si>
    <t>Егорова Е.С.</t>
  </si>
  <si>
    <t>Оплата по договору 9913160265 за водоотведение январь 2026</t>
  </si>
  <si>
    <t>Волков С.М.</t>
  </si>
  <si>
    <t>1214</t>
  </si>
  <si>
    <t>Козлов Л.К.</t>
  </si>
  <si>
    <t>Петрова О.В.</t>
  </si>
  <si>
    <t>Оплата по договору 9968932553 за водоснабжение январь 2026</t>
  </si>
  <si>
    <t>Фёдорова А.С.</t>
  </si>
  <si>
    <t>Оплата по договору 9963087744 за водоснабжение и водоотведение январь 2026</t>
  </si>
  <si>
    <t>Лебедева Б.Б.</t>
  </si>
  <si>
    <t>Соколов Б.А.</t>
  </si>
  <si>
    <t>Петрова И.Е.</t>
  </si>
  <si>
    <t>Лебедева К.Б.</t>
  </si>
  <si>
    <t>Оплата по договору 9976848884 за водоснабжение и водоотведение март 2026</t>
  </si>
  <si>
    <t>Лебедева Е.Д.</t>
  </si>
  <si>
    <t>1215</t>
  </si>
  <si>
    <t>Козлов С.Н.</t>
  </si>
  <si>
    <t>Морозова Б.Г.</t>
  </si>
  <si>
    <t>Фёдорова И.А.</t>
  </si>
  <si>
    <t>Оплата по договору 9958125246 за водоотведение февраль 2026</t>
  </si>
  <si>
    <t>Морозова К.Б.</t>
  </si>
  <si>
    <t>Кузнецова К.В.</t>
  </si>
  <si>
    <t>Оплата по договору 9989892850 за водоснабжение февраль 2026</t>
  </si>
  <si>
    <t>Фёдорова И.Е.</t>
  </si>
  <si>
    <t>Кузнецова М.И.</t>
  </si>
  <si>
    <t>Оплата по договору 9928215876 за водоснабжение январь 2026</t>
  </si>
  <si>
    <t>Морозова К.М.</t>
  </si>
  <si>
    <t>Оплата по договору 9914862807 за водоснабжение январь 2026</t>
  </si>
  <si>
    <t>Петрова С.К.</t>
  </si>
  <si>
    <t>Оплата по договору 9901542004 за водоотведение февраль 2026</t>
  </si>
  <si>
    <t>Фёдорова Л.Д.</t>
  </si>
  <si>
    <t>Оплата по договору 9956669073 за водоснабжение январь 2026</t>
  </si>
  <si>
    <t>Козлов Л.П.</t>
  </si>
  <si>
    <t>Оплата по договору 9956366902 за водоснабжение январь 2026</t>
  </si>
  <si>
    <t>1216</t>
  </si>
  <si>
    <t>Волков Г.М.</t>
  </si>
  <si>
    <t>Оплата по договору 9953522449 за водоснабжение и водоотведение март 2026</t>
  </si>
  <si>
    <t>Лебедева С.Е.</t>
  </si>
  <si>
    <t>Оплата по договору 9915988000 за водоснабжение и водоотведение февраль 2026</t>
  </si>
  <si>
    <t>Морозова Л.О.</t>
  </si>
  <si>
    <t>Попов Л.Б.</t>
  </si>
  <si>
    <t>Оплата по договору 9938601278 за водоснабжение январь 2026</t>
  </si>
  <si>
    <t>Фёдорова Н.И.</t>
  </si>
  <si>
    <t>Оплата по договору 9918909714 за водоотведение январь 2026</t>
  </si>
  <si>
    <t>Кузнецова В.Б.</t>
  </si>
  <si>
    <t>Оплата по договору 9975134554 за водоснабжение март 2026</t>
  </si>
  <si>
    <t>Егорова Б.Г.</t>
  </si>
  <si>
    <t>Оплата по договору 9918909714 за водоснабжение и водоотведение март 2026</t>
  </si>
  <si>
    <t>Лебедева И.О.</t>
  </si>
  <si>
    <t>Морозова М.Л.</t>
  </si>
  <si>
    <t>Оплата по договору 9991186040 за водоснабжение февраль 2026</t>
  </si>
  <si>
    <t>Волков В.Н.</t>
  </si>
  <si>
    <t>Оплата по договору 9932203407 за водоснабжение и водоотведение март 2026</t>
  </si>
  <si>
    <t>1217</t>
  </si>
  <si>
    <t>Петрова С.Г.</t>
  </si>
  <si>
    <t>Оплата по договору 9958125246 за водоснабжение и водоотведение март 2026</t>
  </si>
  <si>
    <t>Попов В.Г.</t>
  </si>
  <si>
    <t>Оплата по договору 9956669073 за водоотведение март 2026</t>
  </si>
  <si>
    <t>Петрова И.Л.</t>
  </si>
  <si>
    <t>Оплата по договору 9977244482 за водоотведение февраль 2026</t>
  </si>
  <si>
    <t>Фёдорова Л.А.</t>
  </si>
  <si>
    <t>Васильева И.К.</t>
  </si>
  <si>
    <t>Попов Г.С.</t>
  </si>
  <si>
    <t>Оплата по договору 9968846905 за водоснабжение и водоотведение март 2026</t>
  </si>
  <si>
    <t>Морозова И.Г.</t>
  </si>
  <si>
    <t>Оплата по договору 9967446522 за водоснабжение и водоотведение март 2026</t>
  </si>
  <si>
    <t>Попов Н.Г.</t>
  </si>
  <si>
    <t>Оплата по договору 9973571250 за водоснабжение январь 2026</t>
  </si>
  <si>
    <t>Попов Е.П.</t>
  </si>
  <si>
    <t>Морозова П.Е.</t>
  </si>
  <si>
    <t>Иванов В.Л.</t>
  </si>
  <si>
    <t>Оплата по договору 9918909714 за водоотведение март 2026</t>
  </si>
  <si>
    <t>Егорова В.Н.</t>
  </si>
  <si>
    <t>Оплата по договору 9929968745 за водоснабжение март 2026</t>
  </si>
  <si>
    <t>1218</t>
  </si>
  <si>
    <t>Иванов Г.П.</t>
  </si>
  <si>
    <t>Кузнецова И.Н.</t>
  </si>
  <si>
    <t>Оплата по договору 9977244482 за водоотведение январь 2026</t>
  </si>
  <si>
    <t>Фёдорова Г.О.</t>
  </si>
  <si>
    <t>Оплата по договору 9967962320 за водоснабжение и водоотведение март 2026</t>
  </si>
  <si>
    <t>Кузнецова Б.И.</t>
  </si>
  <si>
    <t>Оплата по договору 9916376341 за водоснабжение февраль 2026</t>
  </si>
  <si>
    <t>Оплата по договору 9956366902 за водоснабжение и водоотведение март 2026</t>
  </si>
  <si>
    <t>Соколов П.Н.</t>
  </si>
  <si>
    <t>Фёдорова П.Н.</t>
  </si>
  <si>
    <t>1219</t>
  </si>
  <si>
    <t>Лебедева Д.К.</t>
  </si>
  <si>
    <t>Оплата по договору 9953438575 за водоснабжение февраль 2026</t>
  </si>
  <si>
    <t>Попов М.П.</t>
  </si>
  <si>
    <t>Смирнов Г.С.</t>
  </si>
  <si>
    <t>Кузнецова А.А.</t>
  </si>
  <si>
    <t>Оплата по договору 9932203407 за водоснабжение и водоотведение январь 2026</t>
  </si>
  <si>
    <t>Смирнов Л.С.</t>
  </si>
  <si>
    <t>Васильева С.Б.</t>
  </si>
  <si>
    <t>Фёдорова Е.Л.</t>
  </si>
  <si>
    <t>Оплата по договору 9967962320 за водоснабжение февраль 2026</t>
  </si>
  <si>
    <t>Фёдорова Б.П.</t>
  </si>
  <si>
    <t>Оплата по договору 9938601278 за водоотведение январь 2026</t>
  </si>
  <si>
    <t>Фёдорова П.И.</t>
  </si>
  <si>
    <t>Оплата по договору 9915988000 за водоотведение январь 2026</t>
  </si>
  <si>
    <t>Козлов Д.Б.</t>
  </si>
  <si>
    <t>Козлов О.О.</t>
  </si>
  <si>
    <t>1220</t>
  </si>
  <si>
    <t>Козлов А.О.</t>
  </si>
  <si>
    <t>Козлов Д.Д.</t>
  </si>
  <si>
    <t>Оплата по договору 9956669073 за водоотведение февраль 2026</t>
  </si>
  <si>
    <t>Соколов Л.А.</t>
  </si>
  <si>
    <t>Оплата по договору 9953948553 за водоотведение февраль 2026</t>
  </si>
  <si>
    <t>Фёдорова М.О.</t>
  </si>
  <si>
    <t>Оплата по договору 9933757517 за водоснабжение февраль 2026</t>
  </si>
  <si>
    <t>Васильева В.Б.</t>
  </si>
  <si>
    <t>Попов О.О.</t>
  </si>
  <si>
    <t>Лебедева Г.О.</t>
  </si>
  <si>
    <t>Соколов Д.С.</t>
  </si>
  <si>
    <t>Оплата по договору 9991186040 за водоотведение февраль 2026</t>
  </si>
  <si>
    <t>Лебедева О.К.</t>
  </si>
  <si>
    <t>Волков К.И.</t>
  </si>
  <si>
    <t>Новиков Н.О.</t>
  </si>
  <si>
    <t>Оплата по договору 9995901695 за водоснабжение и водоотведение март 2026</t>
  </si>
  <si>
    <t>Названия строк</t>
  </si>
  <si>
    <t>Общий итог</t>
  </si>
  <si>
    <t>Названия столбцов</t>
  </si>
  <si>
    <t>Сумма по полю Перечислено</t>
  </si>
  <si>
    <t>(Все)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</si>
</sst>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49" fontId="0" fillId="0" borderId="0" xfId="0" applyNumberFormat="1"/>
    <xf numFmtId="0" fontId="1" fillId="0" borderId="0" xfId="1"/>
    <xf numFmtId="14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  <xf numFmtId="4" fontId="0" fillId="0" borderId="0" xfId="0" applyNumberFormat="1"/>
  </cellXfs>
  <cellStyles count="2">
    <cellStyle name="Гиперссылка" xfId="1" builtinId="8"/>
    <cellStyle name="Обычный" xfId="0" builtinId="0"/>
  </cellStyles>
  <dxfs count="9">
    <dxf>
      <numFmt numFmtId="4" formatCode="#,##0.00"/>
    </dxf>
    <dxf>
      <numFmt numFmtId="4" formatCode="#,##0.00"/>
    </dxf>
    <dxf>
      <numFmt numFmtId="4" formatCode="#,##0.00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eetMetadata" Target="metadata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444500</xdr:colOff>
      <xdr:row>3</xdr:row>
      <xdr:rowOff>31750</xdr:rowOff>
    </xdr:from>
    <xdr:to>
      <xdr:col>10</xdr:col>
      <xdr:colOff>444500</xdr:colOff>
      <xdr:row>16</xdr:row>
      <xdr:rowOff>161925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Окончание счёта">
              <a:extLst>
                <a:ext uri="{FF2B5EF4-FFF2-40B4-BE49-F238E27FC236}">
                  <a16:creationId xmlns:a16="http://schemas.microsoft.com/office/drawing/2014/main" id="{8ACE4CFB-58F6-8E6E-FAF8-44A26076948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Окончание счёта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150350" y="58420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Валерий Кравченко" refreshedDate="46302.510031712962" createdVersion="8" refreshedVersion="8" minRefreshableVersion="3" recordCount="219" xr:uid="{A3786681-B250-4DE7-BA29-A03FFF724B5B}">
  <cacheSource type="worksheet">
    <worksheetSource name="Реестры"/>
  </cacheSource>
  <cacheFields count="11">
    <cacheField name="Номер реестра" numFmtId="0">
      <sharedItems/>
    </cacheField>
    <cacheField name="Окончание счёта" numFmtId="0">
      <sharedItems count="2">
        <s v="4417"/>
        <s v="7302"/>
      </sharedItems>
    </cacheField>
    <cacheField name="Дата платежа" numFmtId="14">
      <sharedItems containsSemiMixedTypes="0" containsNonDate="0" containsDate="1" containsString="0" minDate="2026-03-02T00:00:00" maxDate="2026-03-14T00:00:00" count="10">
        <d v="2026-03-02T00:00:00"/>
        <d v="2026-03-03T00:00:00"/>
        <d v="2026-03-04T00:00:00"/>
        <d v="2026-03-05T00:00:00"/>
        <d v="2026-03-06T00:00:00"/>
        <d v="2026-03-09T00:00:00"/>
        <d v="2026-03-10T00:00:00"/>
        <d v="2026-03-11T00:00:00"/>
        <d v="2026-03-12T00:00:00"/>
        <d v="2026-03-13T00:00:00"/>
      </sharedItems>
    </cacheField>
    <cacheField name="Филиал" numFmtId="0">
      <sharedItems count="5">
        <s v="Восточный филиал"/>
        <s v="Западный филиал"/>
        <s v="Северный филиал"/>
        <s v="Южный филиал"/>
        <s v="Нет в справочнике"/>
      </sharedItems>
    </cacheField>
    <cacheField name="№ договора" numFmtId="0">
      <sharedItems/>
    </cacheField>
    <cacheField name="Плательщик" numFmtId="0">
      <sharedItems/>
    </cacheField>
    <cacheField name="Назначение платежа" numFmtId="0">
      <sharedItems/>
    </cacheField>
    <cacheField name="Принято" numFmtId="0">
      <sharedItems containsSemiMixedTypes="0" containsString="0" containsNumber="1" minValue="214.63" maxValue="8910.7800000000007"/>
    </cacheField>
    <cacheField name="Комиссия" numFmtId="0">
      <sharedItems containsSemiMixedTypes="0" containsString="0" containsNumber="1" minValue="0" maxValue="89.11"/>
    </cacheField>
    <cacheField name="Перечислено" numFmtId="0">
      <sharedItems containsSemiMixedTypes="0" containsString="0" containsNumber="1" minValue="212.48" maxValue="8824.32"/>
    </cacheField>
    <cacheField name="Проверка суммы" numFmtId="0">
      <sharedItems count="2">
        <s v="ОК"/>
        <s v="Расхождение"/>
      </sharedItems>
    </cacheField>
  </cacheFields>
  <extLst>
    <ext xmlns:x14="http://schemas.microsoft.com/office/spreadsheetml/2009/9/main" uri="{725AE2AE-9491-48be-B2B4-4EB974FC3084}">
      <x14:pivotCacheDefinition pivotCacheId="128015377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9">
  <r>
    <s v="1201"/>
    <x v="0"/>
    <x v="0"/>
    <x v="0"/>
    <s v="9995901695"/>
    <s v="Фёдорова Л.Г."/>
    <s v="Оплата по договору 9995901695 за водоотведение март 2026"/>
    <n v="5624.66"/>
    <n v="0"/>
    <n v="5624.66"/>
    <x v="0"/>
  </r>
  <r>
    <s v="1201"/>
    <x v="0"/>
    <x v="0"/>
    <x v="1"/>
    <s v="9975134554"/>
    <s v="Козлов В.Л."/>
    <s v="Оплата по договору 9975134554 за водоснабжение февраль 2026"/>
    <n v="2858.14"/>
    <n v="28.58"/>
    <n v="2829.56"/>
    <x v="0"/>
  </r>
  <r>
    <s v="1201"/>
    <x v="0"/>
    <x v="0"/>
    <x v="1"/>
    <s v="9975134554"/>
    <s v="Лебедева Л.Д."/>
    <s v="Оплата по договору 9975134554 за водоснабжение февраль 2026"/>
    <n v="1311.26"/>
    <n v="13.11"/>
    <n v="1298.1500000000001"/>
    <x v="0"/>
  </r>
  <r>
    <s v="1201"/>
    <x v="0"/>
    <x v="0"/>
    <x v="1"/>
    <s v="9938601278"/>
    <s v="Смирнов А.Е."/>
    <s v="Оплата по договору 9938601278 за водоснабжение и водоотведение март 2026"/>
    <n v="6066.02"/>
    <n v="60.66"/>
    <n v="6005.36"/>
    <x v="0"/>
  </r>
  <r>
    <s v="1201"/>
    <x v="0"/>
    <x v="0"/>
    <x v="0"/>
    <s v="9915988000"/>
    <s v="Новиков С.Б."/>
    <s v="Оплата по договору 9915988000 за водоснабжение и водоотведение январь 2026"/>
    <n v="965.69"/>
    <n v="9.66"/>
    <n v="956.03"/>
    <x v="0"/>
  </r>
  <r>
    <s v="1201"/>
    <x v="0"/>
    <x v="0"/>
    <x v="1"/>
    <s v="9928215876"/>
    <s v="Морозова Б.Н."/>
    <s v="Оплата по договору 9928215876 за водоотведение февраль 2026"/>
    <n v="8710.32"/>
    <n v="87.1"/>
    <n v="8623.2199999999993"/>
    <x v="0"/>
  </r>
  <r>
    <s v="1201"/>
    <x v="0"/>
    <x v="0"/>
    <x v="1"/>
    <s v="9996275386"/>
    <s v="Иванов С.Д."/>
    <s v="Оплата по договору 9996275386 за водоотведение февраль 2026"/>
    <n v="7300.44"/>
    <n v="73"/>
    <n v="7227.44"/>
    <x v="0"/>
  </r>
  <r>
    <s v="1201"/>
    <x v="0"/>
    <x v="0"/>
    <x v="1"/>
    <s v="9953522449"/>
    <s v="Иванов Л.К."/>
    <s v="Оплата по договору 9953522449 за водоотведение март 2026"/>
    <n v="8420.7099999999991"/>
    <n v="84.21"/>
    <n v="8336.5"/>
    <x v="0"/>
  </r>
  <r>
    <s v="1201"/>
    <x v="0"/>
    <x v="0"/>
    <x v="1"/>
    <s v="9938601278"/>
    <s v="Фёдорова К.П."/>
    <s v="Оплата по договору 9938601278 за водоснабжение и водоотведение февраль 2026"/>
    <n v="232.1"/>
    <n v="0"/>
    <n v="232.1"/>
    <x v="0"/>
  </r>
  <r>
    <s v="1201"/>
    <x v="0"/>
    <x v="0"/>
    <x v="2"/>
    <s v="9967446522"/>
    <s v="Козлов Л.В."/>
    <s v="Оплата по договору 9967446522 за водоснабжение март 2026"/>
    <n v="1292.8900000000001"/>
    <n v="12.93"/>
    <n v="1279.96"/>
    <x v="0"/>
  </r>
  <r>
    <s v="1201"/>
    <x v="0"/>
    <x v="0"/>
    <x v="1"/>
    <s v="9990503438"/>
    <s v="Смирнов А.Н."/>
    <s v="Оплата по договору 9990503438 за водоснабжение и водоотведение январь 2026"/>
    <n v="3682.54"/>
    <n v="0"/>
    <n v="3682.54"/>
    <x v="0"/>
  </r>
  <r>
    <s v="1202"/>
    <x v="1"/>
    <x v="0"/>
    <x v="0"/>
    <s v="9933757517"/>
    <s v="Петрова В.М."/>
    <s v="Оплата по договору 9933757517 за водоснабжение январь 2026"/>
    <n v="5113.6400000000003"/>
    <n v="51.14"/>
    <n v="5062.5"/>
    <x v="0"/>
  </r>
  <r>
    <s v="1202"/>
    <x v="1"/>
    <x v="0"/>
    <x v="0"/>
    <s v="9903320452"/>
    <s v="Васильева И.И."/>
    <s v="Оплата по договору 9903320452 за водоотведение январь 2026"/>
    <n v="404.83"/>
    <n v="4.05"/>
    <n v="400.78"/>
    <x v="0"/>
  </r>
  <r>
    <s v="1202"/>
    <x v="1"/>
    <x v="0"/>
    <x v="1"/>
    <s v="9916376341"/>
    <s v="Новиков Н.Л."/>
    <s v="Оплата по договору 9916376341 за водоотведение февраль 2026"/>
    <n v="401.49"/>
    <n v="4.01"/>
    <n v="397.48"/>
    <x v="0"/>
  </r>
  <r>
    <s v="1202"/>
    <x v="1"/>
    <x v="0"/>
    <x v="2"/>
    <s v="9994578218"/>
    <s v="Смирнов Н.М."/>
    <s v="Оплата по договору 9994578218 за водоснабжение январь 2026"/>
    <n v="3848.24"/>
    <n v="38.479999999999997"/>
    <n v="3809.76"/>
    <x v="0"/>
  </r>
  <r>
    <s v="1202"/>
    <x v="1"/>
    <x v="0"/>
    <x v="3"/>
    <s v="9964708126"/>
    <s v="Волков С.А."/>
    <s v="Оплата по договору 9964708126 за водоснабжение и водоотведение январь 2026"/>
    <n v="6827.61"/>
    <n v="68.28"/>
    <n v="6759.33"/>
    <x v="0"/>
  </r>
  <r>
    <s v="1202"/>
    <x v="1"/>
    <x v="0"/>
    <x v="2"/>
    <s v="9967446522"/>
    <s v="Новиков М.С."/>
    <s v="Оплата по договору 9967446522 за водоотведение февраль 2026"/>
    <n v="2892.78"/>
    <n v="0"/>
    <n v="2892.78"/>
    <x v="0"/>
  </r>
  <r>
    <s v="1202"/>
    <x v="1"/>
    <x v="0"/>
    <x v="1"/>
    <s v="9947866880"/>
    <s v="Волков Б.Н."/>
    <s v="Оплата по договору 9947866880 за водоотведение март 2026"/>
    <n v="5407.41"/>
    <n v="54.07"/>
    <n v="5353.34"/>
    <x v="0"/>
  </r>
  <r>
    <s v="1202"/>
    <x v="1"/>
    <x v="0"/>
    <x v="2"/>
    <s v="9968846905"/>
    <s v="Васильева Д.О."/>
    <s v="Оплата по договору 9968846905 за водоснабжение февраль 2026"/>
    <n v="7923.99"/>
    <n v="79.239999999999995"/>
    <n v="7844.75"/>
    <x v="0"/>
  </r>
  <r>
    <s v="1202"/>
    <x v="1"/>
    <x v="0"/>
    <x v="1"/>
    <s v="9967962320"/>
    <s v="Попов К.К."/>
    <s v="Оплата по договору 9967962320 за водоотведение февраль 2026"/>
    <n v="2848.45"/>
    <n v="28.48"/>
    <n v="2819.97"/>
    <x v="0"/>
  </r>
  <r>
    <s v="1202"/>
    <x v="1"/>
    <x v="0"/>
    <x v="3"/>
    <s v="9964708126"/>
    <s v="Егорова Б.С."/>
    <s v="Оплата по договору 9964708126 за водоснабжение январь 2026"/>
    <n v="7199.93"/>
    <n v="72"/>
    <n v="7127.93"/>
    <x v="0"/>
  </r>
  <r>
    <s v="1202"/>
    <x v="1"/>
    <x v="0"/>
    <x v="1"/>
    <s v="9916376341"/>
    <s v="Волков В.А."/>
    <s v="Оплата по договору 9916376341 за водоотведение январь 2026"/>
    <n v="7082.33"/>
    <n v="70.819999999999993"/>
    <n v="7011.51"/>
    <x v="0"/>
  </r>
  <r>
    <s v="1202"/>
    <x v="1"/>
    <x v="0"/>
    <x v="1"/>
    <s v="9938601278"/>
    <s v="Кузнецова М.Д."/>
    <s v="Оплата по договору 9938601278 за водоснабжение и водоотведение февраль 2026"/>
    <n v="5068.83"/>
    <n v="50.69"/>
    <n v="5018.1400000000003"/>
    <x v="0"/>
  </r>
  <r>
    <s v="1202"/>
    <x v="1"/>
    <x v="0"/>
    <x v="2"/>
    <s v="9968846905"/>
    <s v="Козлов Е.О."/>
    <s v="Оплата по договору 9968846905 за водоснабжение март 2026"/>
    <n v="1665.78"/>
    <n v="16.66"/>
    <n v="1649.12"/>
    <x v="0"/>
  </r>
  <r>
    <s v="1202"/>
    <x v="1"/>
    <x v="0"/>
    <x v="1"/>
    <s v="9978721495"/>
    <s v="Попов Д.Б."/>
    <s v="Оплата по договору 9978721495 за водоснабжение февраль 2026"/>
    <n v="2725.67"/>
    <n v="27.26"/>
    <n v="2698.41"/>
    <x v="0"/>
  </r>
  <r>
    <s v="1203"/>
    <x v="0"/>
    <x v="1"/>
    <x v="0"/>
    <s v="9903320452"/>
    <s v="Морозова Б.Л."/>
    <s v="Оплата по договору 9903320452 за водоснабжение и водоотведение январь 2026"/>
    <n v="5880.78"/>
    <n v="58.81"/>
    <n v="5821.97"/>
    <x v="0"/>
  </r>
  <r>
    <s v="1203"/>
    <x v="0"/>
    <x v="1"/>
    <x v="1"/>
    <s v="9915629378"/>
    <s v="Фёдорова М.Г."/>
    <s v="Оплата по договору 9915629378 за водоснабжение январь 2026"/>
    <n v="2828.44"/>
    <n v="28.28"/>
    <n v="2800.16"/>
    <x v="0"/>
  </r>
  <r>
    <s v="1203"/>
    <x v="0"/>
    <x v="1"/>
    <x v="1"/>
    <s v="9916376341"/>
    <s v="Смирнов Е.Л."/>
    <s v="Оплата по договору 9916376341 за водоснабжение январь 2026"/>
    <n v="1662.33"/>
    <n v="16.62"/>
    <n v="1645.71"/>
    <x v="0"/>
  </r>
  <r>
    <s v="1203"/>
    <x v="0"/>
    <x v="1"/>
    <x v="0"/>
    <s v="9918909714"/>
    <s v="Соколов Г.О."/>
    <s v="Оплата по договору 9918909714 за водоснабжение и водоотведение январь 2026"/>
    <n v="4939.3100000000004"/>
    <n v="49.39"/>
    <n v="4889.92"/>
    <x v="0"/>
  </r>
  <r>
    <s v="1203"/>
    <x v="0"/>
    <x v="1"/>
    <x v="0"/>
    <s v="9991186040"/>
    <s v="Смирнов О.И."/>
    <s v="Оплата по договору 9991186040 за водоотведение март 2026"/>
    <n v="8691.67"/>
    <n v="0"/>
    <n v="8691.67"/>
    <x v="0"/>
  </r>
  <r>
    <s v="1203"/>
    <x v="0"/>
    <x v="1"/>
    <x v="2"/>
    <s v="9967446522"/>
    <s v="Лебедева М.Д."/>
    <s v="Оплата по договору 9967446522 за водоснабжение и водоотведение январь 2026"/>
    <n v="4870.7299999999996"/>
    <n v="48.71"/>
    <n v="4822.0200000000004"/>
    <x v="0"/>
  </r>
  <r>
    <s v="1203"/>
    <x v="0"/>
    <x v="1"/>
    <x v="3"/>
    <s v="9964708126"/>
    <s v="Волков В.Б."/>
    <s v="Оплата по договору 9964708126 за водоотведение февраль 2026"/>
    <n v="6365.79"/>
    <n v="63.66"/>
    <n v="6302.13"/>
    <x v="0"/>
  </r>
  <r>
    <s v="1203"/>
    <x v="0"/>
    <x v="1"/>
    <x v="2"/>
    <s v="9994578218"/>
    <s v="Попов Г.В."/>
    <s v="Оплата по договору 9994578218 за водоснабжение и водоотведение февраль 2026"/>
    <n v="8088.65"/>
    <n v="80.89"/>
    <n v="8007.76"/>
    <x v="0"/>
  </r>
  <r>
    <s v="1203"/>
    <x v="0"/>
    <x v="1"/>
    <x v="1"/>
    <s v="9978721495"/>
    <s v="Морозова П.Д."/>
    <s v="Оплата по договору 9978721495 за водоотведение март 2026"/>
    <n v="7044.56"/>
    <n v="0"/>
    <n v="7044.56"/>
    <x v="0"/>
  </r>
  <r>
    <s v="1203"/>
    <x v="0"/>
    <x v="1"/>
    <x v="0"/>
    <s v="9953438575"/>
    <s v="Козлов Г.Л."/>
    <s v="Оплата по договору 9953438575 за водоотведение февраль 2026"/>
    <n v="6409.34"/>
    <n v="64.09"/>
    <n v="6345.25"/>
    <x v="0"/>
  </r>
  <r>
    <s v="1204"/>
    <x v="1"/>
    <x v="1"/>
    <x v="1"/>
    <s v="9996275386"/>
    <s v="Козлов К.Г."/>
    <s v="Оплата по договору 9996275386 за водоснабжение и водоотведение февраль 2026"/>
    <n v="3717.16"/>
    <n v="0"/>
    <n v="3717.16"/>
    <x v="0"/>
  </r>
  <r>
    <s v="1204"/>
    <x v="1"/>
    <x v="1"/>
    <x v="1"/>
    <s v="9996275386"/>
    <s v="Смирнов Б.Л."/>
    <s v="Оплата по договору 9996275386 за водоснабжение февраль 2026"/>
    <n v="2963.73"/>
    <n v="29.64"/>
    <n v="2934.09"/>
    <x v="0"/>
  </r>
  <r>
    <s v="1204"/>
    <x v="1"/>
    <x v="1"/>
    <x v="1"/>
    <s v="9978721495"/>
    <s v="Новиков Н.Л."/>
    <s v="Оплата по договору 9978721495 за водоотведение февраль 2026"/>
    <n v="6574.13"/>
    <n v="65.739999999999995"/>
    <n v="6508.39"/>
    <x v="0"/>
  </r>
  <r>
    <s v="1204"/>
    <x v="1"/>
    <x v="1"/>
    <x v="2"/>
    <s v="9956669073"/>
    <s v="Попов К.Е."/>
    <s v="Оплата по договору 9956669073 за водоотведение январь 2026"/>
    <n v="3224.6"/>
    <n v="32.25"/>
    <n v="3192.35"/>
    <x v="0"/>
  </r>
  <r>
    <s v="1204"/>
    <x v="1"/>
    <x v="1"/>
    <x v="1"/>
    <s v="9913160265"/>
    <s v="Соколов А.В."/>
    <s v="Оплата по договору 9913160265 за водоснабжение и водоотведение март 2026"/>
    <n v="1106.29"/>
    <n v="11.06"/>
    <n v="1095.23"/>
    <x v="0"/>
  </r>
  <r>
    <s v="1204"/>
    <x v="1"/>
    <x v="1"/>
    <x v="0"/>
    <s v="9912034628"/>
    <s v="Васильева Д.Л."/>
    <s v="Оплата по договору 9912034628 за водоснабжение и водоотведение февраль 2026"/>
    <n v="7553.18"/>
    <n v="75.53"/>
    <n v="7477.65"/>
    <x v="0"/>
  </r>
  <r>
    <s v="1204"/>
    <x v="1"/>
    <x v="1"/>
    <x v="4"/>
    <s v="9953948553"/>
    <s v="Фёдорова Н.Е."/>
    <s v="Оплата по договору 9953948553 за водоснабжение март 2026"/>
    <n v="7148.09"/>
    <n v="71.48"/>
    <n v="7076.61"/>
    <x v="0"/>
  </r>
  <r>
    <s v="1204"/>
    <x v="1"/>
    <x v="1"/>
    <x v="2"/>
    <s v="9994578218"/>
    <s v="Иванов А.П."/>
    <s v="Оплата по договору 9994578218 за водоснабжение март 2026"/>
    <n v="7684.28"/>
    <n v="76.84"/>
    <n v="7607.44"/>
    <x v="0"/>
  </r>
  <r>
    <s v="1204"/>
    <x v="1"/>
    <x v="1"/>
    <x v="2"/>
    <s v="9956669073"/>
    <s v="Волков П.К."/>
    <s v="Оплата по договору 9956669073 за водоснабжение и водоотведение март 2026"/>
    <n v="6115.93"/>
    <n v="61.16"/>
    <n v="6054.77"/>
    <x v="0"/>
  </r>
  <r>
    <s v="1204"/>
    <x v="1"/>
    <x v="1"/>
    <x v="2"/>
    <s v="9968932553"/>
    <s v="Козлов Б.Д."/>
    <s v="Оплата по договору 9968932553 за водоотведение март 2026"/>
    <n v="3086.18"/>
    <n v="0"/>
    <n v="3086.18"/>
    <x v="0"/>
  </r>
  <r>
    <s v="1204"/>
    <x v="1"/>
    <x v="1"/>
    <x v="0"/>
    <s v="9995901695"/>
    <s v="Попов Е.С."/>
    <s v="Оплата по договору 9995901695 за водоснабжение февраль 2026"/>
    <n v="5963.05"/>
    <n v="0"/>
    <n v="5963.05"/>
    <x v="0"/>
  </r>
  <r>
    <s v="1204"/>
    <x v="1"/>
    <x v="1"/>
    <x v="2"/>
    <s v="9968932553"/>
    <s v="Волков В.О."/>
    <s v="Оплата по договору 9968932553 за водоотведение январь 2026"/>
    <n v="8496.34"/>
    <n v="84.96"/>
    <n v="8411.3799999999992"/>
    <x v="0"/>
  </r>
  <r>
    <s v="1204"/>
    <x v="1"/>
    <x v="1"/>
    <x v="2"/>
    <s v="9956669073"/>
    <s v="Смирнов А.Д."/>
    <s v="Оплата по договору 9956669073 за водоснабжение и водоотведение март 2026"/>
    <n v="681.28"/>
    <n v="6.81"/>
    <n v="674.47"/>
    <x v="0"/>
  </r>
  <r>
    <s v="1205"/>
    <x v="0"/>
    <x v="2"/>
    <x v="1"/>
    <s v="9990503438"/>
    <s v="Смирнов В.П."/>
    <s v="Оплата по договору 9990503438 за водоснабжение и водоотведение март 2026"/>
    <n v="6387.64"/>
    <n v="0"/>
    <n v="6387.64"/>
    <x v="0"/>
  </r>
  <r>
    <s v="1205"/>
    <x v="0"/>
    <x v="2"/>
    <x v="1"/>
    <s v="9990503438"/>
    <s v="Кузнецова О.Г."/>
    <s v="Оплата по договору 9990503438 за водоснабжение январь 2026"/>
    <n v="5518.49"/>
    <n v="0"/>
    <n v="5518.49"/>
    <x v="0"/>
  </r>
  <r>
    <s v="1205"/>
    <x v="0"/>
    <x v="2"/>
    <x v="1"/>
    <s v="9947866880"/>
    <s v="Егорова И.О."/>
    <s v="Оплата по договору 9947866880 за водоотведение февраль 2026"/>
    <n v="3445.3"/>
    <n v="34.450000000000003"/>
    <n v="3410.85"/>
    <x v="0"/>
  </r>
  <r>
    <s v="1205"/>
    <x v="0"/>
    <x v="2"/>
    <x v="0"/>
    <s v="9991186040"/>
    <s v="Петрова И.Н."/>
    <s v="Оплата по договору 9991186040 за водоотведение январь 2026"/>
    <n v="4603.88"/>
    <n v="46.04"/>
    <n v="4557.84"/>
    <x v="0"/>
  </r>
  <r>
    <s v="1205"/>
    <x v="0"/>
    <x v="2"/>
    <x v="1"/>
    <s v="9901542004"/>
    <s v="Иванов А.Б."/>
    <s v="Оплата по договору 9901542004 за водоотведение март 2026"/>
    <n v="6476.13"/>
    <n v="0"/>
    <n v="6476.13"/>
    <x v="0"/>
  </r>
  <r>
    <s v="1205"/>
    <x v="0"/>
    <x v="2"/>
    <x v="1"/>
    <s v="9973571250"/>
    <s v="Иванов Д.Г."/>
    <s v="Оплата по договору 9973571250 за водоснабжение и водоотведение февраль 2026"/>
    <n v="4484.22"/>
    <n v="44.84"/>
    <n v="4439.38"/>
    <x v="0"/>
  </r>
  <r>
    <s v="1205"/>
    <x v="0"/>
    <x v="2"/>
    <x v="1"/>
    <s v="9947866880"/>
    <s v="Соколов Л.С."/>
    <s v="Оплата по договору 9947866880 за водоснабжение и водоотведение январь 2026"/>
    <n v="405.55"/>
    <n v="4.0599999999999996"/>
    <n v="401.49"/>
    <x v="0"/>
  </r>
  <r>
    <s v="1205"/>
    <x v="0"/>
    <x v="2"/>
    <x v="1"/>
    <s v="9996275386"/>
    <s v="Егорова Е.Е."/>
    <s v="Оплата по договору 9996275386 за водоснабжение и водоотведение февраль 2026"/>
    <n v="1359.89"/>
    <n v="13.6"/>
    <n v="1346.29"/>
    <x v="0"/>
  </r>
  <r>
    <s v="1205"/>
    <x v="0"/>
    <x v="2"/>
    <x v="1"/>
    <s v="9928215876"/>
    <s v="Лебедева Е.В."/>
    <s v="Оплата по договору 9928215876 за водоотведение январь 2026"/>
    <n v="1381.82"/>
    <n v="13.82"/>
    <n v="1368"/>
    <x v="0"/>
  </r>
  <r>
    <s v="1206"/>
    <x v="1"/>
    <x v="2"/>
    <x v="0"/>
    <s v="9995901695"/>
    <s v="Новиков А.В."/>
    <s v="Оплата по договору 9995901695 за водоотведение январь 2026"/>
    <n v="8640.9599999999991"/>
    <n v="86.41"/>
    <n v="8554.5499999999993"/>
    <x v="0"/>
  </r>
  <r>
    <s v="1206"/>
    <x v="1"/>
    <x v="2"/>
    <x v="3"/>
    <s v="9977244482"/>
    <s v="Морозова М.И."/>
    <s v="Оплата по договору 9977244482 за водоотведение март 2026"/>
    <n v="1819.14"/>
    <n v="0"/>
    <n v="1819.14"/>
    <x v="0"/>
  </r>
  <r>
    <s v="1206"/>
    <x v="1"/>
    <x v="2"/>
    <x v="0"/>
    <s v="9912034628"/>
    <s v="Петрова П.М."/>
    <s v="Оплата по договору 9912034628 за водоснабжение и водоотведение январь 2026"/>
    <n v="311.38"/>
    <n v="0"/>
    <n v="311.38"/>
    <x v="0"/>
  </r>
  <r>
    <s v="1206"/>
    <x v="1"/>
    <x v="2"/>
    <x v="0"/>
    <s v="9997054446"/>
    <s v="Лебедева Г.И."/>
    <s v="Оплата по договору 9997054446 за водоснабжение март 2026"/>
    <n v="3001.95"/>
    <n v="30.02"/>
    <n v="2971.93"/>
    <x v="0"/>
  </r>
  <r>
    <s v="1206"/>
    <x v="1"/>
    <x v="2"/>
    <x v="2"/>
    <s v="9917313932"/>
    <s v="Егорова Л.Е."/>
    <s v="Оплата по договору 9917313932 за водоотведение февраль 2026"/>
    <n v="7093.73"/>
    <n v="70.94"/>
    <n v="7022.79"/>
    <x v="0"/>
  </r>
  <r>
    <s v="1206"/>
    <x v="1"/>
    <x v="2"/>
    <x v="0"/>
    <s v="9991186040"/>
    <s v="Васильева П.Г."/>
    <s v="Оплата по договору 9991186040 за водоснабжение и водоотведение январь 2026"/>
    <n v="8585.64"/>
    <n v="0"/>
    <n v="8585.64"/>
    <x v="0"/>
  </r>
  <r>
    <s v="1206"/>
    <x v="1"/>
    <x v="2"/>
    <x v="2"/>
    <s v="9968846905"/>
    <s v="Соколов А.Л."/>
    <s v="Оплата по договору 9968846905 за водоснабжение март 2026"/>
    <n v="1825.3"/>
    <n v="18.25"/>
    <n v="1807.05"/>
    <x v="0"/>
  </r>
  <r>
    <s v="1206"/>
    <x v="1"/>
    <x v="2"/>
    <x v="4"/>
    <s v="9958125246"/>
    <s v="Морозова В.Б."/>
    <s v="Оплата по договору 9958125246 за водоснабжение март 2026"/>
    <n v="7997.62"/>
    <n v="79.98"/>
    <n v="7917.64"/>
    <x v="0"/>
  </r>
  <r>
    <s v="1206"/>
    <x v="1"/>
    <x v="2"/>
    <x v="1"/>
    <s v="9976848884"/>
    <s v="Васильева П.Д."/>
    <s v="Оплата по договору 9976848884 за водоснабжение и водоотведение январь 2026"/>
    <n v="8386.9500000000007"/>
    <n v="83.87"/>
    <n v="8303.08"/>
    <x v="0"/>
  </r>
  <r>
    <s v="1206"/>
    <x v="1"/>
    <x v="2"/>
    <x v="3"/>
    <s v="9964708126"/>
    <s v="Попов А.Б."/>
    <s v="Оплата по договору 9964708126 за водоснабжение и водоотведение январь 2026"/>
    <n v="8525.7000000000007"/>
    <n v="85.26"/>
    <n v="8440.44"/>
    <x v="0"/>
  </r>
  <r>
    <s v="1207"/>
    <x v="0"/>
    <x v="3"/>
    <x v="1"/>
    <s v="9956366902"/>
    <s v="Кузнецова А.Д."/>
    <s v="Оплата по договору 9956366902 за водоснабжение март 2026"/>
    <n v="3698.11"/>
    <n v="0"/>
    <n v="3698.11"/>
    <x v="0"/>
  </r>
  <r>
    <s v="1207"/>
    <x v="0"/>
    <x v="3"/>
    <x v="1"/>
    <s v="9947866880"/>
    <s v="Иванов К.Д."/>
    <s v="Оплата по договору 9947866880 за водоснабжение март 2026"/>
    <n v="214.63"/>
    <n v="2.15"/>
    <n v="212.48"/>
    <x v="0"/>
  </r>
  <r>
    <s v="1207"/>
    <x v="0"/>
    <x v="3"/>
    <x v="1"/>
    <s v="9948793812"/>
    <s v="Смирнов А.С."/>
    <s v="Оплата по договору 9948793812 за водоотведение январь 2026"/>
    <n v="1705"/>
    <n v="17.05"/>
    <n v="1687.95"/>
    <x v="0"/>
  </r>
  <r>
    <s v="1207"/>
    <x v="0"/>
    <x v="3"/>
    <x v="1"/>
    <s v="9990503438"/>
    <s v="Смирнов В.Г."/>
    <s v="Оплата по договору 9990503438 за водоснабжение март 2026"/>
    <n v="940.96"/>
    <n v="9.41"/>
    <n v="931.55"/>
    <x v="0"/>
  </r>
  <r>
    <s v="1207"/>
    <x v="0"/>
    <x v="3"/>
    <x v="0"/>
    <s v="9991186040"/>
    <s v="Петрова О.П."/>
    <s v="Оплата по договору 9991186040 за водоснабжение март 2026"/>
    <n v="4292.7700000000004"/>
    <n v="0"/>
    <n v="4292.7700000000004"/>
    <x v="0"/>
  </r>
  <r>
    <s v="1207"/>
    <x v="0"/>
    <x v="3"/>
    <x v="3"/>
    <s v="9963087744"/>
    <s v="Волков М.А."/>
    <s v="Оплата по договору 9963087744 за водоснабжение и водоотведение февраль 2026"/>
    <n v="8491.99"/>
    <n v="0"/>
    <n v="8491.99"/>
    <x v="0"/>
  </r>
  <r>
    <s v="1207"/>
    <x v="0"/>
    <x v="3"/>
    <x v="1"/>
    <s v="9916376341"/>
    <s v="Новиков Е.Г."/>
    <s v="Оплата по договору 9916376341 за водоснабжение и водоотведение февраль 2026"/>
    <n v="2256.1999999999998"/>
    <n v="22.56"/>
    <n v="2233.64"/>
    <x v="0"/>
  </r>
  <r>
    <s v="1207"/>
    <x v="0"/>
    <x v="3"/>
    <x v="1"/>
    <s v="9929968745"/>
    <s v="Козлов О.Л."/>
    <s v="Оплата по договору 9929968745 за водоснабжение февраль 2026"/>
    <n v="2084.19"/>
    <n v="20.84"/>
    <n v="2063.35"/>
    <x v="0"/>
  </r>
  <r>
    <s v="1207"/>
    <x v="0"/>
    <x v="3"/>
    <x v="3"/>
    <s v="9963087744"/>
    <s v="Егорова Г.Н."/>
    <s v="Оплата по договору 9963087744 за водоснабжение и водоотведение февраль 2026"/>
    <n v="5729.75"/>
    <n v="0"/>
    <n v="5719.75"/>
    <x v="1"/>
  </r>
  <r>
    <s v="1208"/>
    <x v="1"/>
    <x v="3"/>
    <x v="3"/>
    <s v="9963087744"/>
    <s v="Фёдорова Л.Е."/>
    <s v="Оплата по договору 9963087744 за водоотведение февраль 2026"/>
    <n v="2677.29"/>
    <n v="26.77"/>
    <n v="2650.52"/>
    <x v="0"/>
  </r>
  <r>
    <s v="1208"/>
    <x v="1"/>
    <x v="3"/>
    <x v="0"/>
    <s v="9903320452"/>
    <s v="Новиков Е.Л."/>
    <s v="Оплата по договору 9903320452 за водоотведение февраль 2026"/>
    <n v="6680.41"/>
    <n v="66.8"/>
    <n v="6613.61"/>
    <x v="0"/>
  </r>
  <r>
    <s v="1208"/>
    <x v="1"/>
    <x v="3"/>
    <x v="1"/>
    <s v="9973571250"/>
    <s v="Егорова И.Н."/>
    <s v="Оплата по договору 9973571250 за водоснабжение и водоотведение январь 2026"/>
    <n v="7449.32"/>
    <n v="74.489999999999995"/>
    <n v="7374.83"/>
    <x v="0"/>
  </r>
  <r>
    <s v="1208"/>
    <x v="1"/>
    <x v="3"/>
    <x v="1"/>
    <s v="9947866880"/>
    <s v="Новиков Л.И."/>
    <s v="Оплата по договору 9947866880 за водоснабжение и водоотведение февраль 2026"/>
    <n v="5605.31"/>
    <n v="56.05"/>
    <n v="5549.26"/>
    <x v="0"/>
  </r>
  <r>
    <s v="1208"/>
    <x v="1"/>
    <x v="3"/>
    <x v="1"/>
    <s v="9916376341"/>
    <s v="Лебедева В.О."/>
    <s v="Оплата по договору 9916376341 за водоотведение март 2026"/>
    <n v="242.8"/>
    <n v="0"/>
    <n v="242.8"/>
    <x v="0"/>
  </r>
  <r>
    <s v="1208"/>
    <x v="1"/>
    <x v="3"/>
    <x v="0"/>
    <s v="9953438575"/>
    <s v="Васильева В.П."/>
    <s v="Оплата по договору 9953438575 за водоснабжение январь 2026"/>
    <n v="2139.91"/>
    <n v="21.4"/>
    <n v="2118.5100000000002"/>
    <x v="0"/>
  </r>
  <r>
    <s v="1208"/>
    <x v="1"/>
    <x v="3"/>
    <x v="2"/>
    <s v="9994578218"/>
    <s v="Смирнов Б.М."/>
    <s v="Оплата по договору 9994578218 за водоснабжение и водоотведение январь 2026"/>
    <n v="2773.53"/>
    <n v="27.74"/>
    <n v="2745.79"/>
    <x v="0"/>
  </r>
  <r>
    <s v="1208"/>
    <x v="1"/>
    <x v="3"/>
    <x v="3"/>
    <s v="9977244482"/>
    <s v="Попов К.П."/>
    <s v="Оплата по договору 9977244482 за водоотведение март 2026"/>
    <n v="7315.93"/>
    <n v="73.16"/>
    <n v="7242.77"/>
    <x v="0"/>
  </r>
  <r>
    <s v="1208"/>
    <x v="1"/>
    <x v="3"/>
    <x v="2"/>
    <s v="9967446522"/>
    <s v="Смирнов И.Н."/>
    <s v="Оплата по договору 9967446522 за водоснабжение и водоотведение январь 2026"/>
    <n v="4082.14"/>
    <n v="40.82"/>
    <n v="4041.32"/>
    <x v="0"/>
  </r>
  <r>
    <s v="1208"/>
    <x v="1"/>
    <x v="3"/>
    <x v="0"/>
    <s v="9989892850"/>
    <s v="Морозова Б.Б."/>
    <s v="Оплата по договору 9989892850 за водоснабжение январь 2026"/>
    <n v="8597.35"/>
    <n v="85.97"/>
    <n v="8511.3799999999992"/>
    <x v="0"/>
  </r>
  <r>
    <s v="1209"/>
    <x v="0"/>
    <x v="4"/>
    <x v="1"/>
    <s v="9901542004"/>
    <s v="Волков Б.С."/>
    <s v="Оплата по договору 9901542004 за водоснабжение март 2026"/>
    <n v="4229.22"/>
    <n v="42.29"/>
    <n v="4186.93"/>
    <x v="0"/>
  </r>
  <r>
    <s v="1209"/>
    <x v="0"/>
    <x v="4"/>
    <x v="2"/>
    <s v="9968932553"/>
    <s v="Соколов Н.Б."/>
    <s v="Оплата по договору 9968932553 за водоснабжение и водоотведение март 2026"/>
    <n v="3379.32"/>
    <n v="33.79"/>
    <n v="3345.53"/>
    <x v="0"/>
  </r>
  <r>
    <s v="1209"/>
    <x v="0"/>
    <x v="4"/>
    <x v="3"/>
    <s v="9964708126"/>
    <s v="Смирнов А.С."/>
    <s v="Оплата по договору 9964708126 за водоснабжение март 2026"/>
    <n v="2345.4499999999998"/>
    <n v="0"/>
    <n v="2345.4499999999998"/>
    <x v="0"/>
  </r>
  <r>
    <s v="1209"/>
    <x v="0"/>
    <x v="4"/>
    <x v="0"/>
    <s v="9953438575"/>
    <s v="Соколов Л.Г."/>
    <s v="Оплата по договору 9953438575 за водоотведение январь 2026"/>
    <n v="4335.01"/>
    <n v="43.35"/>
    <n v="4291.66"/>
    <x v="0"/>
  </r>
  <r>
    <s v="1209"/>
    <x v="0"/>
    <x v="4"/>
    <x v="2"/>
    <s v="9917313932"/>
    <s v="Волков Б.И."/>
    <s v="Оплата по договору 9917313932 за водоснабжение февраль 2026"/>
    <n v="5473.18"/>
    <n v="54.73"/>
    <n v="5418.45"/>
    <x v="0"/>
  </r>
  <r>
    <s v="1209"/>
    <x v="0"/>
    <x v="4"/>
    <x v="4"/>
    <s v="9958125246"/>
    <s v="Попов П.К."/>
    <s v="Оплата по договору 9958125246 за водоснабжение февраль 2026"/>
    <n v="3569.15"/>
    <n v="35.69"/>
    <n v="3533.46"/>
    <x v="0"/>
  </r>
  <r>
    <s v="1209"/>
    <x v="0"/>
    <x v="4"/>
    <x v="0"/>
    <s v="9989892850"/>
    <s v="Попов А.Л."/>
    <s v="Оплата по договору 9989892850 за водоснабжение и водоотведение февраль 2026"/>
    <n v="4785.2"/>
    <n v="47.85"/>
    <n v="4737.3500000000004"/>
    <x v="0"/>
  </r>
  <r>
    <s v="1209"/>
    <x v="0"/>
    <x v="4"/>
    <x v="0"/>
    <s v="9912034628"/>
    <s v="Лебедева М.К."/>
    <s v="Оплата по договору 9912034628 за водоснабжение февраль 2026"/>
    <n v="1990.19"/>
    <n v="19.899999999999999"/>
    <n v="1970.29"/>
    <x v="0"/>
  </r>
  <r>
    <s v="1209"/>
    <x v="0"/>
    <x v="4"/>
    <x v="0"/>
    <s v="9989892850"/>
    <s v="Фёдорова М.Е."/>
    <s v="Оплата по договору 9989892850 за водоснабжение и водоотведение февраль 2026"/>
    <n v="2334.12"/>
    <n v="23.34"/>
    <n v="2310.7800000000002"/>
    <x v="0"/>
  </r>
  <r>
    <s v="1209"/>
    <x v="0"/>
    <x v="4"/>
    <x v="1"/>
    <s v="9973571250"/>
    <s v="Петрова Е.С."/>
    <s v="Оплата по договору 9973571250 за водоотведение март 2026"/>
    <n v="4236.6499999999996"/>
    <n v="42.37"/>
    <n v="4194.28"/>
    <x v="0"/>
  </r>
  <r>
    <s v="1209"/>
    <x v="0"/>
    <x v="4"/>
    <x v="1"/>
    <s v="9978721495"/>
    <s v="Морозова Е.О."/>
    <s v="Оплата по договору 9978721495 за водоснабжение январь 2026"/>
    <n v="4059.86"/>
    <n v="0"/>
    <n v="4059.86"/>
    <x v="0"/>
  </r>
  <r>
    <s v="1209"/>
    <x v="0"/>
    <x v="4"/>
    <x v="1"/>
    <s v="9916376341"/>
    <s v="Петрова П.Е."/>
    <s v="Оплата по договору 9916376341 за водоотведение февраль 2026"/>
    <n v="8784.39"/>
    <n v="87.84"/>
    <n v="8696.5499999999993"/>
    <x v="0"/>
  </r>
  <r>
    <s v="1209"/>
    <x v="0"/>
    <x v="4"/>
    <x v="1"/>
    <s v="9915629378"/>
    <s v="Новиков М.И."/>
    <s v="Оплата по договору 9915629378 за водоотведение март 2026"/>
    <n v="7709.15"/>
    <n v="77.09"/>
    <n v="7632.06"/>
    <x v="0"/>
  </r>
  <r>
    <s v="1209"/>
    <x v="0"/>
    <x v="4"/>
    <x v="0"/>
    <s v="9997054446"/>
    <s v="Егорова Б.Л."/>
    <s v="Оплата по договору 9997054446 за водоотведение январь 2026"/>
    <n v="1472.17"/>
    <n v="14.72"/>
    <n v="1457.45"/>
    <x v="0"/>
  </r>
  <r>
    <s v="1210"/>
    <x v="1"/>
    <x v="4"/>
    <x v="1"/>
    <s v="9916376341"/>
    <s v="Егорова Г.О."/>
    <s v="Оплата по договору 9916376341 за водоотведение февраль 2026"/>
    <n v="585.55999999999995"/>
    <n v="5.86"/>
    <n v="579.70000000000005"/>
    <x v="0"/>
  </r>
  <r>
    <s v="1210"/>
    <x v="1"/>
    <x v="4"/>
    <x v="1"/>
    <s v="9976848884"/>
    <s v="Соколов Г.Б."/>
    <s v="Оплата по договору 9976848884 за водоснабжение и водоотведение январь 2026"/>
    <n v="2708.42"/>
    <n v="0"/>
    <n v="2708.42"/>
    <x v="0"/>
  </r>
  <r>
    <s v="1210"/>
    <x v="1"/>
    <x v="4"/>
    <x v="0"/>
    <s v="9953438575"/>
    <s v="Лебедева Б.Г."/>
    <s v="Оплата по договору 9953438575 за водоотведение январь 2026"/>
    <n v="8021.31"/>
    <n v="80.209999999999994"/>
    <n v="7941.1"/>
    <x v="0"/>
  </r>
  <r>
    <s v="1210"/>
    <x v="1"/>
    <x v="4"/>
    <x v="1"/>
    <s v="9916376341"/>
    <s v="Новиков Е.П."/>
    <s v="Оплата по договору 9916376341 за водоснабжение январь 2026"/>
    <n v="797.45"/>
    <n v="7.97"/>
    <n v="789.48"/>
    <x v="0"/>
  </r>
  <r>
    <s v="1210"/>
    <x v="1"/>
    <x v="4"/>
    <x v="0"/>
    <s v="9915988000"/>
    <s v="Попов Л.Г."/>
    <s v="Оплата по договору 9915988000 за водоснабжение февраль 2026"/>
    <n v="3398.36"/>
    <n v="33.979999999999997"/>
    <n v="3364.38"/>
    <x v="0"/>
  </r>
  <r>
    <s v="1210"/>
    <x v="1"/>
    <x v="4"/>
    <x v="1"/>
    <s v="9947866880"/>
    <s v="Лебедева Д.А."/>
    <s v="Оплата по договору 9947866880 за водоснабжение январь 2026"/>
    <n v="2994.13"/>
    <n v="29.94"/>
    <n v="2964.19"/>
    <x v="0"/>
  </r>
  <r>
    <s v="1210"/>
    <x v="1"/>
    <x v="4"/>
    <x v="1"/>
    <s v="9901542004"/>
    <s v="Козлов Б.П."/>
    <s v="Оплата по договору 9901542004 за водоснабжение февраль 2026"/>
    <n v="7092.15"/>
    <n v="70.92"/>
    <n v="7021.23"/>
    <x v="0"/>
  </r>
  <r>
    <s v="1210"/>
    <x v="1"/>
    <x v="4"/>
    <x v="1"/>
    <s v="9938601278"/>
    <s v="Смирнов М.И."/>
    <s v="Оплата по договору 9938601278 за водоснабжение и водоотведение январь 2026"/>
    <n v="5810.24"/>
    <n v="58.1"/>
    <n v="5752.14"/>
    <x v="0"/>
  </r>
  <r>
    <s v="1210"/>
    <x v="1"/>
    <x v="4"/>
    <x v="1"/>
    <s v="9990503438"/>
    <s v="Егорова Д.И."/>
    <s v="Оплата по договору 9990503438 за водоотведение март 2026"/>
    <n v="6661.47"/>
    <n v="66.61"/>
    <n v="6594.86"/>
    <x v="0"/>
  </r>
  <r>
    <s v="1210"/>
    <x v="1"/>
    <x v="4"/>
    <x v="0"/>
    <s v="9912034628"/>
    <s v="Кузнецова Г.П."/>
    <s v="Оплата по договору 9912034628 за водоснабжение февраль 2026"/>
    <n v="5353.65"/>
    <n v="53.54"/>
    <n v="5300.11"/>
    <x v="0"/>
  </r>
  <r>
    <s v="1210"/>
    <x v="1"/>
    <x v="4"/>
    <x v="1"/>
    <s v="9978721495"/>
    <s v="Васильева С.М."/>
    <s v="Оплата по договору 9978721495 за водоснабжение и водоотведение февраль 2026"/>
    <n v="2175.58"/>
    <n v="0"/>
    <n v="2175.58"/>
    <x v="0"/>
  </r>
  <r>
    <s v="1211"/>
    <x v="0"/>
    <x v="5"/>
    <x v="1"/>
    <s v="9929968745"/>
    <s v="Лебедева К.Н."/>
    <s v="Оплата по договору 9929968745 за водоотведение март 2026"/>
    <n v="3317.44"/>
    <n v="33.17"/>
    <n v="3284.27"/>
    <x v="0"/>
  </r>
  <r>
    <s v="1211"/>
    <x v="0"/>
    <x v="5"/>
    <x v="1"/>
    <s v="9929968745"/>
    <s v="Морозова Е.О."/>
    <s v="Оплата по договору 9929968745 за водоснабжение февраль 2026"/>
    <n v="2591.5500000000002"/>
    <n v="25.92"/>
    <n v="2565.63"/>
    <x v="0"/>
  </r>
  <r>
    <s v="1211"/>
    <x v="0"/>
    <x v="5"/>
    <x v="0"/>
    <s v="9903320452"/>
    <s v="Егорова А.Б."/>
    <s v="Оплата по договору 9903320452 за водоотведение февраль 2026"/>
    <n v="1308.8900000000001"/>
    <n v="13.09"/>
    <n v="1295.8"/>
    <x v="0"/>
  </r>
  <r>
    <s v="1211"/>
    <x v="0"/>
    <x v="5"/>
    <x v="2"/>
    <s v="9968932553"/>
    <s v="Попов М.И."/>
    <s v="Оплата по договору 9968932553 за водоотведение февраль 2026"/>
    <n v="6537.85"/>
    <n v="65.38"/>
    <n v="6472.47"/>
    <x v="0"/>
  </r>
  <r>
    <s v="1211"/>
    <x v="0"/>
    <x v="5"/>
    <x v="1"/>
    <s v="9916376341"/>
    <s v="Новиков Е.П."/>
    <s v="Оплата по договору 9916376341 за водоотведение март 2026"/>
    <n v="8448.58"/>
    <n v="84.49"/>
    <n v="8364.09"/>
    <x v="0"/>
  </r>
  <r>
    <s v="1211"/>
    <x v="0"/>
    <x v="5"/>
    <x v="0"/>
    <s v="9997054446"/>
    <s v="Попов Г.К."/>
    <s v="Оплата по договору 9997054446 за водоснабжение и водоотведение январь 2026"/>
    <n v="3890.66"/>
    <n v="38.909999999999997"/>
    <n v="3851.75"/>
    <x v="0"/>
  </r>
  <r>
    <s v="1211"/>
    <x v="0"/>
    <x v="5"/>
    <x v="0"/>
    <s v="9991186040"/>
    <s v="Морозова Д.К."/>
    <s v="Оплата по договору 9991186040 за водоснабжение и водоотведение март 2026"/>
    <n v="5156.84"/>
    <n v="51.57"/>
    <n v="5105.2700000000004"/>
    <x v="0"/>
  </r>
  <r>
    <s v="1211"/>
    <x v="0"/>
    <x v="5"/>
    <x v="2"/>
    <s v="9968846905"/>
    <s v="Соколов И.С."/>
    <s v="Оплата по договору 9968846905 за водоотведение январь 2026"/>
    <n v="5072.3599999999997"/>
    <n v="50.72"/>
    <n v="5021.6400000000003"/>
    <x v="0"/>
  </r>
  <r>
    <s v="1211"/>
    <x v="0"/>
    <x v="5"/>
    <x v="1"/>
    <s v="9976848884"/>
    <s v="Смирнов С.Н."/>
    <s v="Оплата по договору 9976848884 за водоотведение февраль 2026"/>
    <n v="5839.84"/>
    <n v="0"/>
    <n v="5839.84"/>
    <x v="0"/>
  </r>
  <r>
    <s v="1211"/>
    <x v="0"/>
    <x v="5"/>
    <x v="2"/>
    <s v="9967446522"/>
    <s v="Васильева Н.В."/>
    <s v="Оплата по договору 9967446522 за водоснабжение январь 2026"/>
    <n v="8824.32"/>
    <n v="0"/>
    <n v="8824.32"/>
    <x v="0"/>
  </r>
  <r>
    <s v="1211"/>
    <x v="0"/>
    <x v="5"/>
    <x v="0"/>
    <s v="9953438575"/>
    <s v="Петрова М.Е."/>
    <s v="Оплата по договору 9953438575 за водоотведение март 2026"/>
    <n v="219.92"/>
    <n v="2.2000000000000002"/>
    <n v="217.72"/>
    <x v="0"/>
  </r>
  <r>
    <s v="1211"/>
    <x v="0"/>
    <x v="5"/>
    <x v="4"/>
    <s v="9958125246"/>
    <s v="Васильева Б.Д."/>
    <s v="Оплата по договору 9958125246 за водоотведение март 2026"/>
    <n v="1938.24"/>
    <n v="19.38"/>
    <n v="1918.86"/>
    <x v="0"/>
  </r>
  <r>
    <s v="1211"/>
    <x v="0"/>
    <x v="5"/>
    <x v="0"/>
    <s v="9953438575"/>
    <s v="Смирнов С.Г."/>
    <s v="Оплата по договору 9953438575 за водоснабжение и водоотведение март 2026"/>
    <n v="8134.38"/>
    <n v="81.34"/>
    <n v="8053.04"/>
    <x v="0"/>
  </r>
  <r>
    <s v="1211"/>
    <x v="0"/>
    <x v="5"/>
    <x v="0"/>
    <s v="9997054446"/>
    <s v="Егорова П.Е."/>
    <s v="Оплата по договору 9997054446 за водоснабжение и водоотведение январь 2026"/>
    <n v="6624.14"/>
    <n v="66.239999999999995"/>
    <n v="6557.9"/>
    <x v="0"/>
  </r>
  <r>
    <s v="1211"/>
    <x v="0"/>
    <x v="5"/>
    <x v="1"/>
    <s v="9938601278"/>
    <s v="Егорова В.Г."/>
    <s v="Оплата по договору 9938601278 за водоотведение март 2026"/>
    <n v="1204.71"/>
    <n v="0"/>
    <n v="1204.71"/>
    <x v="0"/>
  </r>
  <r>
    <s v="1212"/>
    <x v="1"/>
    <x v="5"/>
    <x v="1"/>
    <s v="9913160265"/>
    <s v="Петрова Л.И."/>
    <s v="Оплата по договору 9913160265 за водоснабжение февраль 2026"/>
    <n v="8910.7800000000007"/>
    <n v="89.11"/>
    <n v="8821.67"/>
    <x v="0"/>
  </r>
  <r>
    <s v="1212"/>
    <x v="1"/>
    <x v="5"/>
    <x v="1"/>
    <s v="9996275386"/>
    <s v="Лебедева М.В."/>
    <s v="Оплата по договору 9996275386 за водоснабжение март 2026"/>
    <n v="5491.43"/>
    <n v="0"/>
    <n v="5491.43"/>
    <x v="0"/>
  </r>
  <r>
    <s v="1212"/>
    <x v="1"/>
    <x v="5"/>
    <x v="0"/>
    <s v="9903320452"/>
    <s v="Морозова Б.И."/>
    <s v="Оплата по договору 9903320452 за водоотведение январь 2026"/>
    <n v="1624.95"/>
    <n v="0"/>
    <n v="1624.95"/>
    <x v="0"/>
  </r>
  <r>
    <s v="1212"/>
    <x v="1"/>
    <x v="5"/>
    <x v="1"/>
    <s v="9953522449"/>
    <s v="Иванов Г.Л."/>
    <s v="Оплата по договору 9953522449 за водоснабжение январь 2026"/>
    <n v="890.06"/>
    <n v="0"/>
    <n v="890.06"/>
    <x v="0"/>
  </r>
  <r>
    <s v="1212"/>
    <x v="1"/>
    <x v="5"/>
    <x v="2"/>
    <s v="9967446522"/>
    <s v="Васильева Е.Д."/>
    <s v="Оплата по договору 9967446522 за водоснабжение и водоотведение февраль 2026"/>
    <n v="6036.97"/>
    <n v="60.37"/>
    <n v="5976.6"/>
    <x v="0"/>
  </r>
  <r>
    <s v="1212"/>
    <x v="1"/>
    <x v="5"/>
    <x v="1"/>
    <s v="9976848884"/>
    <s v="Смирнов К.Г."/>
    <s v="Оплата по договору 9976848884 за водоснабжение январь 2026"/>
    <n v="1908.95"/>
    <n v="19.09"/>
    <n v="1889.86"/>
    <x v="0"/>
  </r>
  <r>
    <s v="1212"/>
    <x v="1"/>
    <x v="5"/>
    <x v="3"/>
    <s v="9963087744"/>
    <s v="Лебедева П.Б."/>
    <s v="Оплата по договору 9963087744 за водоотведение март 2026"/>
    <n v="4375.4399999999996"/>
    <n v="43.75"/>
    <n v="4331.6899999999996"/>
    <x v="0"/>
  </r>
  <r>
    <s v="1212"/>
    <x v="1"/>
    <x v="5"/>
    <x v="1"/>
    <s v="9913160265"/>
    <s v="Лебедева Б.П."/>
    <s v="Оплата по договору 9913160265 за водоснабжение март 2026"/>
    <n v="3855.28"/>
    <n v="0"/>
    <n v="3855.28"/>
    <x v="0"/>
  </r>
  <r>
    <s v="1212"/>
    <x v="1"/>
    <x v="5"/>
    <x v="0"/>
    <s v="9953438575"/>
    <s v="Новиков В.С."/>
    <s v="Оплата по договору 9953438575 за водоотведение март 2026"/>
    <n v="4560.33"/>
    <n v="45.6"/>
    <n v="4514.7299999999996"/>
    <x v="0"/>
  </r>
  <r>
    <s v="1213"/>
    <x v="0"/>
    <x v="6"/>
    <x v="1"/>
    <s v="9975134554"/>
    <s v="Лебедева Г.Н."/>
    <s v="Оплата по договору 9975134554 за водоотведение март 2026"/>
    <n v="3375.61"/>
    <n v="33.76"/>
    <n v="3341.85"/>
    <x v="0"/>
  </r>
  <r>
    <s v="1213"/>
    <x v="0"/>
    <x v="6"/>
    <x v="0"/>
    <s v="9914862807"/>
    <s v="Волков Н.О."/>
    <s v="Оплата по договору 9914862807 за водоснабжение февраль 2026"/>
    <n v="4178.42"/>
    <n v="41.78"/>
    <n v="4136.6400000000003"/>
    <x v="0"/>
  </r>
  <r>
    <s v="1213"/>
    <x v="0"/>
    <x v="6"/>
    <x v="1"/>
    <s v="9901542004"/>
    <s v="Попов В.И."/>
    <s v="Оплата по договору 9901542004 за водоснабжение март 2026"/>
    <n v="5737.36"/>
    <n v="0"/>
    <n v="5737.36"/>
    <x v="0"/>
  </r>
  <r>
    <s v="1213"/>
    <x v="0"/>
    <x v="6"/>
    <x v="0"/>
    <s v="9989892850"/>
    <s v="Соколов А.Н."/>
    <s v="Оплата по договору 9989892850 за водоснабжение март 2026"/>
    <n v="5758.42"/>
    <n v="57.58"/>
    <n v="5700.84"/>
    <x v="0"/>
  </r>
  <r>
    <s v="1213"/>
    <x v="0"/>
    <x v="6"/>
    <x v="1"/>
    <s v="9948793812"/>
    <s v="Иванов С.Б."/>
    <s v="Оплата по договору 9948793812 за водоснабжение январь 2026"/>
    <n v="1216.24"/>
    <n v="12.16"/>
    <n v="1204.08"/>
    <x v="0"/>
  </r>
  <r>
    <s v="1213"/>
    <x v="0"/>
    <x v="6"/>
    <x v="3"/>
    <s v="9963087744"/>
    <s v="Фёдорова И.Н."/>
    <s v="Оплата по договору 9963087744 за водоснабжение январь 2026"/>
    <n v="1331.78"/>
    <n v="13.32"/>
    <n v="1318.46"/>
    <x v="0"/>
  </r>
  <r>
    <s v="1213"/>
    <x v="0"/>
    <x v="6"/>
    <x v="1"/>
    <s v="9929968745"/>
    <s v="Новиков И.П."/>
    <s v="Оплата по договору 9929968745 за водоснабжение и водоотведение март 2026"/>
    <n v="325.97000000000003"/>
    <n v="0"/>
    <n v="325.97000000000003"/>
    <x v="0"/>
  </r>
  <r>
    <s v="1213"/>
    <x v="0"/>
    <x v="6"/>
    <x v="1"/>
    <s v="9913160265"/>
    <s v="Егорова Е.С."/>
    <s v="Оплата по договору 9913160265 за водоотведение январь 2026"/>
    <n v="4492.8599999999997"/>
    <n v="44.93"/>
    <n v="4447.93"/>
    <x v="0"/>
  </r>
  <r>
    <s v="1213"/>
    <x v="0"/>
    <x v="6"/>
    <x v="3"/>
    <s v="9964708126"/>
    <s v="Волков С.М."/>
    <s v="Оплата по договору 9964708126 за водоснабжение январь 2026"/>
    <n v="7334.51"/>
    <n v="73.349999999999994"/>
    <n v="7261.16"/>
    <x v="0"/>
  </r>
  <r>
    <s v="1214"/>
    <x v="1"/>
    <x v="6"/>
    <x v="1"/>
    <s v="9947866880"/>
    <s v="Козлов Л.К."/>
    <s v="Оплата по договору 9947866880 за водоотведение февраль 2026"/>
    <n v="4476.9399999999996"/>
    <n v="44.77"/>
    <n v="4432.17"/>
    <x v="0"/>
  </r>
  <r>
    <s v="1214"/>
    <x v="1"/>
    <x v="6"/>
    <x v="2"/>
    <s v="9968932553"/>
    <s v="Петрова О.В."/>
    <s v="Оплата по договору 9968932553 за водоснабжение январь 2026"/>
    <n v="3468.29"/>
    <n v="0"/>
    <n v="3468.29"/>
    <x v="0"/>
  </r>
  <r>
    <s v="1214"/>
    <x v="1"/>
    <x v="6"/>
    <x v="3"/>
    <s v="9963087744"/>
    <s v="Фёдорова А.С."/>
    <s v="Оплата по договору 9963087744 за водоснабжение и водоотведение январь 2026"/>
    <n v="8874.2800000000007"/>
    <n v="88.74"/>
    <n v="8785.5400000000009"/>
    <x v="0"/>
  </r>
  <r>
    <s v="1214"/>
    <x v="1"/>
    <x v="6"/>
    <x v="1"/>
    <s v="9953522449"/>
    <s v="Лебедева Б.Б."/>
    <s v="Оплата по договору 9953522449 за водоотведение март 2026"/>
    <n v="7603.8"/>
    <n v="0"/>
    <n v="7603.8"/>
    <x v="0"/>
  </r>
  <r>
    <s v="1214"/>
    <x v="1"/>
    <x v="6"/>
    <x v="4"/>
    <s v="9953948553"/>
    <s v="Соколов Б.А."/>
    <s v="Оплата по договору 9953948553 за водоснабжение март 2026"/>
    <n v="3024.3"/>
    <n v="30.24"/>
    <n v="2994.06"/>
    <x v="0"/>
  </r>
  <r>
    <s v="1214"/>
    <x v="1"/>
    <x v="6"/>
    <x v="1"/>
    <s v="9938601278"/>
    <s v="Петрова И.Е."/>
    <s v="Оплата по договору 9938601278 за водоснабжение и водоотведение февраль 2026"/>
    <n v="2153.91"/>
    <n v="21.54"/>
    <n v="2132.37"/>
    <x v="0"/>
  </r>
  <r>
    <s v="1214"/>
    <x v="1"/>
    <x v="6"/>
    <x v="1"/>
    <s v="9976848884"/>
    <s v="Лебедева К.Б."/>
    <s v="Оплата по договору 9976848884 за водоснабжение и водоотведение март 2026"/>
    <n v="4007.38"/>
    <n v="40.07"/>
    <n v="3967.31"/>
    <x v="0"/>
  </r>
  <r>
    <s v="1214"/>
    <x v="1"/>
    <x v="6"/>
    <x v="0"/>
    <s v="9991186040"/>
    <s v="Лебедева Е.Д."/>
    <s v="Оплата по договору 9991186040 за водоснабжение и водоотведение январь 2026"/>
    <n v="2682.8"/>
    <n v="26.83"/>
    <n v="2655.97"/>
    <x v="0"/>
  </r>
  <r>
    <s v="1215"/>
    <x v="0"/>
    <x v="7"/>
    <x v="1"/>
    <s v="9978721495"/>
    <s v="Козлов С.Н."/>
    <s v="Оплата по договору 9978721495 за водоотведение февраль 2026"/>
    <n v="5770.47"/>
    <n v="0"/>
    <n v="5770.47"/>
    <x v="0"/>
  </r>
  <r>
    <s v="1215"/>
    <x v="0"/>
    <x v="7"/>
    <x v="1"/>
    <s v="9938601278"/>
    <s v="Морозова Б.Г."/>
    <s v="Оплата по договору 9938601278 за водоснабжение и водоотведение январь 2026"/>
    <n v="7496.35"/>
    <n v="74.959999999999994"/>
    <n v="7421.39"/>
    <x v="0"/>
  </r>
  <r>
    <s v="1215"/>
    <x v="0"/>
    <x v="7"/>
    <x v="4"/>
    <s v="9958125246"/>
    <s v="Фёдорова И.А."/>
    <s v="Оплата по договору 9958125246 за водоотведение февраль 2026"/>
    <n v="3375.86"/>
    <n v="33.76"/>
    <n v="3342.1"/>
    <x v="0"/>
  </r>
  <r>
    <s v="1215"/>
    <x v="0"/>
    <x v="7"/>
    <x v="0"/>
    <s v="9989892850"/>
    <s v="Морозова К.Б."/>
    <s v="Оплата по договору 9989892850 за водоснабжение март 2026"/>
    <n v="1625.2"/>
    <n v="16.25"/>
    <n v="1608.95"/>
    <x v="0"/>
  </r>
  <r>
    <s v="1215"/>
    <x v="0"/>
    <x v="7"/>
    <x v="0"/>
    <s v="9989892850"/>
    <s v="Кузнецова К.В."/>
    <s v="Оплата по договору 9989892850 за водоснабжение февраль 2026"/>
    <n v="2850.61"/>
    <n v="28.51"/>
    <n v="2822.1"/>
    <x v="0"/>
  </r>
  <r>
    <s v="1215"/>
    <x v="0"/>
    <x v="7"/>
    <x v="0"/>
    <s v="9915988000"/>
    <s v="Фёдорова И.Е."/>
    <s v="Оплата по договору 9915988000 за водоснабжение февраль 2026"/>
    <n v="4375.08"/>
    <n v="43.75"/>
    <n v="4331.33"/>
    <x v="0"/>
  </r>
  <r>
    <s v="1215"/>
    <x v="0"/>
    <x v="7"/>
    <x v="1"/>
    <s v="9928215876"/>
    <s v="Кузнецова М.И."/>
    <s v="Оплата по договору 9928215876 за водоснабжение январь 2026"/>
    <n v="543.64"/>
    <n v="5.44"/>
    <n v="538.20000000000005"/>
    <x v="0"/>
  </r>
  <r>
    <s v="1215"/>
    <x v="0"/>
    <x v="7"/>
    <x v="0"/>
    <s v="9914862807"/>
    <s v="Морозова К.М."/>
    <s v="Оплата по договору 9914862807 за водоснабжение январь 2026"/>
    <n v="3972.19"/>
    <n v="39.72"/>
    <n v="3932.47"/>
    <x v="0"/>
  </r>
  <r>
    <s v="1215"/>
    <x v="0"/>
    <x v="7"/>
    <x v="1"/>
    <s v="9901542004"/>
    <s v="Петрова С.К."/>
    <s v="Оплата по договору 9901542004 за водоотведение февраль 2026"/>
    <n v="2597.23"/>
    <n v="25.97"/>
    <n v="2571.2600000000002"/>
    <x v="0"/>
  </r>
  <r>
    <s v="1215"/>
    <x v="0"/>
    <x v="7"/>
    <x v="2"/>
    <s v="9968846905"/>
    <s v="Фёдорова Л.Д."/>
    <s v="Оплата по договору 9968846905 за водоотведение январь 2026"/>
    <n v="8638.83"/>
    <n v="0"/>
    <n v="8638.83"/>
    <x v="0"/>
  </r>
  <r>
    <s v="1215"/>
    <x v="0"/>
    <x v="7"/>
    <x v="2"/>
    <s v="9956669073"/>
    <s v="Лебедева М.К."/>
    <s v="Оплата по договору 9956669073 за водоснабжение январь 2026"/>
    <n v="2347.27"/>
    <n v="23.47"/>
    <n v="2323.8000000000002"/>
    <x v="0"/>
  </r>
  <r>
    <s v="1215"/>
    <x v="0"/>
    <x v="7"/>
    <x v="1"/>
    <s v="9956366902"/>
    <s v="Козлов Л.П."/>
    <s v="Оплата по договору 9956366902 за водоснабжение январь 2026"/>
    <n v="6071.39"/>
    <n v="0"/>
    <n v="6071.39"/>
    <x v="0"/>
  </r>
  <r>
    <s v="1216"/>
    <x v="1"/>
    <x v="7"/>
    <x v="1"/>
    <s v="9953522449"/>
    <s v="Волков Г.М."/>
    <s v="Оплата по договору 9953522449 за водоснабжение и водоотведение март 2026"/>
    <n v="8445.33"/>
    <n v="84.45"/>
    <n v="8360.8799999999992"/>
    <x v="0"/>
  </r>
  <r>
    <s v="1216"/>
    <x v="1"/>
    <x v="7"/>
    <x v="0"/>
    <s v="9915988000"/>
    <s v="Лебедева С.Е."/>
    <s v="Оплата по договору 9915988000 за водоснабжение и водоотведение февраль 2026"/>
    <n v="772.87"/>
    <n v="0"/>
    <n v="772.87"/>
    <x v="0"/>
  </r>
  <r>
    <s v="1216"/>
    <x v="1"/>
    <x v="7"/>
    <x v="2"/>
    <s v="9967446522"/>
    <s v="Морозова Л.О."/>
    <s v="Оплата по договору 9967446522 за водоснабжение март 2026"/>
    <n v="5054.88"/>
    <n v="50.55"/>
    <n v="5004.33"/>
    <x v="0"/>
  </r>
  <r>
    <s v="1216"/>
    <x v="1"/>
    <x v="7"/>
    <x v="1"/>
    <s v="9938601278"/>
    <s v="Попов Л.Б."/>
    <s v="Оплата по договору 9938601278 за водоснабжение январь 2026"/>
    <n v="6453.64"/>
    <n v="64.540000000000006"/>
    <n v="6389.1"/>
    <x v="0"/>
  </r>
  <r>
    <s v="1216"/>
    <x v="1"/>
    <x v="7"/>
    <x v="0"/>
    <s v="9918909714"/>
    <s v="Фёдорова Н.И."/>
    <s v="Оплата по договору 9918909714 за водоотведение январь 2026"/>
    <n v="2800.22"/>
    <n v="28"/>
    <n v="2772.22"/>
    <x v="0"/>
  </r>
  <r>
    <s v="1216"/>
    <x v="1"/>
    <x v="7"/>
    <x v="1"/>
    <s v="9975134554"/>
    <s v="Кузнецова В.Б."/>
    <s v="Оплата по договору 9975134554 за водоснабжение март 2026"/>
    <n v="5242.92"/>
    <n v="52.43"/>
    <n v="5190.49"/>
    <x v="0"/>
  </r>
  <r>
    <s v="1216"/>
    <x v="1"/>
    <x v="7"/>
    <x v="0"/>
    <s v="9991186040"/>
    <s v="Егорова Б.Г."/>
    <s v="Оплата по договору 9991186040 за водоснабжение и водоотведение январь 2026"/>
    <n v="8797.81"/>
    <n v="0"/>
    <n v="8797.81"/>
    <x v="0"/>
  </r>
  <r>
    <s v="1216"/>
    <x v="1"/>
    <x v="7"/>
    <x v="0"/>
    <s v="9918909714"/>
    <s v="Фёдорова И.Е."/>
    <s v="Оплата по договору 9918909714 за водоснабжение и водоотведение март 2026"/>
    <n v="3785.61"/>
    <n v="37.86"/>
    <n v="3747.75"/>
    <x v="0"/>
  </r>
  <r>
    <s v="1216"/>
    <x v="1"/>
    <x v="7"/>
    <x v="1"/>
    <s v="9901542004"/>
    <s v="Лебедева И.О."/>
    <s v="Оплата по договору 9901542004 за водоотведение февраль 2026"/>
    <n v="3954.51"/>
    <n v="39.549999999999997"/>
    <n v="3914.96"/>
    <x v="0"/>
  </r>
  <r>
    <s v="1216"/>
    <x v="1"/>
    <x v="7"/>
    <x v="0"/>
    <s v="9991186040"/>
    <s v="Морозова М.Л."/>
    <s v="Оплата по договору 9991186040 за водоснабжение февраль 2026"/>
    <n v="3125.83"/>
    <n v="31.26"/>
    <n v="3094.57"/>
    <x v="0"/>
  </r>
  <r>
    <s v="1216"/>
    <x v="1"/>
    <x v="7"/>
    <x v="2"/>
    <s v="9932203407"/>
    <s v="Волков В.Н."/>
    <s v="Оплата по договору 9932203407 за водоснабжение и водоотведение март 2026"/>
    <n v="3437.04"/>
    <n v="0"/>
    <n v="3437.04"/>
    <x v="0"/>
  </r>
  <r>
    <s v="1217"/>
    <x v="0"/>
    <x v="8"/>
    <x v="4"/>
    <s v="9958125246"/>
    <s v="Петрова С.Г."/>
    <s v="Оплата по договору 9958125246 за водоснабжение и водоотведение март 2026"/>
    <n v="814.19"/>
    <n v="8.14"/>
    <n v="806.05"/>
    <x v="0"/>
  </r>
  <r>
    <s v="1217"/>
    <x v="0"/>
    <x v="8"/>
    <x v="2"/>
    <s v="9956669073"/>
    <s v="Попов В.Г."/>
    <s v="Оплата по договору 9956669073 за водоотведение март 2026"/>
    <n v="2359.06"/>
    <n v="0"/>
    <n v="2359.06"/>
    <x v="0"/>
  </r>
  <r>
    <s v="1217"/>
    <x v="0"/>
    <x v="8"/>
    <x v="3"/>
    <s v="9977244482"/>
    <s v="Петрова И.Л."/>
    <s v="Оплата по договору 9977244482 за водоотведение февраль 2026"/>
    <n v="5160.92"/>
    <n v="51.61"/>
    <n v="5109.3100000000004"/>
    <x v="0"/>
  </r>
  <r>
    <s v="1217"/>
    <x v="0"/>
    <x v="8"/>
    <x v="3"/>
    <s v="9963087744"/>
    <s v="Фёдорова Л.А."/>
    <s v="Оплата по договору 9963087744 за водоснабжение и водоотведение февраль 2026"/>
    <n v="252.33"/>
    <n v="2.52"/>
    <n v="249.81"/>
    <x v="0"/>
  </r>
  <r>
    <s v="1217"/>
    <x v="0"/>
    <x v="8"/>
    <x v="1"/>
    <s v="9976848884"/>
    <s v="Васильева И.К."/>
    <s v="Оплата по договору 9976848884 за водоснабжение и водоотведение январь 2026"/>
    <n v="6605.62"/>
    <n v="66.06"/>
    <n v="6539.56"/>
    <x v="0"/>
  </r>
  <r>
    <s v="1217"/>
    <x v="0"/>
    <x v="8"/>
    <x v="2"/>
    <s v="9968846905"/>
    <s v="Попов Г.С."/>
    <s v="Оплата по договору 9968846905 за водоснабжение и водоотведение март 2026"/>
    <n v="8501.69"/>
    <n v="0"/>
    <n v="8501.69"/>
    <x v="0"/>
  </r>
  <r>
    <s v="1217"/>
    <x v="0"/>
    <x v="8"/>
    <x v="2"/>
    <s v="9967446522"/>
    <s v="Морозова И.Г."/>
    <s v="Оплата по договору 9967446522 за водоснабжение и водоотведение март 2026"/>
    <n v="4502.95"/>
    <n v="45.03"/>
    <n v="4457.92"/>
    <x v="0"/>
  </r>
  <r>
    <s v="1217"/>
    <x v="0"/>
    <x v="8"/>
    <x v="1"/>
    <s v="9973571250"/>
    <s v="Попов Н.Г."/>
    <s v="Оплата по договору 9973571250 за водоснабжение январь 2026"/>
    <n v="4935.71"/>
    <n v="0"/>
    <n v="4935.71"/>
    <x v="0"/>
  </r>
  <r>
    <s v="1217"/>
    <x v="0"/>
    <x v="8"/>
    <x v="1"/>
    <s v="9913160265"/>
    <s v="Попов Е.П."/>
    <s v="Оплата по договору 9913160265 за водоотведение январь 2026"/>
    <n v="6832.86"/>
    <n v="0"/>
    <n v="6832.86"/>
    <x v="0"/>
  </r>
  <r>
    <s v="1217"/>
    <x v="0"/>
    <x v="8"/>
    <x v="4"/>
    <s v="9958125246"/>
    <s v="Морозова П.Е."/>
    <s v="Оплата по договору 9958125246 за водоснабжение февраль 2026"/>
    <n v="3680.64"/>
    <n v="36.81"/>
    <n v="3643.83"/>
    <x v="0"/>
  </r>
  <r>
    <s v="1217"/>
    <x v="0"/>
    <x v="8"/>
    <x v="0"/>
    <s v="9918909714"/>
    <s v="Иванов В.Л."/>
    <s v="Оплата по договору 9918909714 за водоотведение март 2026"/>
    <n v="837.6"/>
    <n v="8.3800000000000008"/>
    <n v="829.22"/>
    <x v="0"/>
  </r>
  <r>
    <s v="1217"/>
    <x v="0"/>
    <x v="8"/>
    <x v="1"/>
    <s v="9929968745"/>
    <s v="Егорова В.Н."/>
    <s v="Оплата по договору 9929968745 за водоснабжение март 2026"/>
    <n v="7704.59"/>
    <n v="77.05"/>
    <n v="7627.54"/>
    <x v="0"/>
  </r>
  <r>
    <s v="1218"/>
    <x v="1"/>
    <x v="8"/>
    <x v="1"/>
    <s v="9996275386"/>
    <s v="Козлов Е.О."/>
    <s v="Оплата по договору 9996275386 за водоотведение февраль 2026"/>
    <n v="4282.37"/>
    <n v="42.82"/>
    <n v="4239.55"/>
    <x v="0"/>
  </r>
  <r>
    <s v="1218"/>
    <x v="1"/>
    <x v="8"/>
    <x v="3"/>
    <s v="9977244482"/>
    <s v="Иванов Г.П."/>
    <s v="Оплата по договору 9977244482 за водоотведение февраль 2026"/>
    <n v="1662.05"/>
    <n v="0"/>
    <n v="1662.05"/>
    <x v="0"/>
  </r>
  <r>
    <s v="1218"/>
    <x v="1"/>
    <x v="8"/>
    <x v="3"/>
    <s v="9977244482"/>
    <s v="Кузнецова И.Н."/>
    <s v="Оплата по договору 9977244482 за водоотведение январь 2026"/>
    <n v="2454.39"/>
    <n v="24.54"/>
    <n v="2429.85"/>
    <x v="0"/>
  </r>
  <r>
    <s v="1218"/>
    <x v="1"/>
    <x v="8"/>
    <x v="1"/>
    <s v="9967962320"/>
    <s v="Фёдорова Г.О."/>
    <s v="Оплата по договору 9967962320 за водоснабжение и водоотведение март 2026"/>
    <n v="5304.37"/>
    <n v="53.04"/>
    <n v="5251.33"/>
    <x v="0"/>
  </r>
  <r>
    <s v="1218"/>
    <x v="1"/>
    <x v="8"/>
    <x v="1"/>
    <s v="9916376341"/>
    <s v="Кузнецова Б.И."/>
    <s v="Оплата по договору 9916376341 за водоснабжение февраль 2026"/>
    <n v="6553.25"/>
    <n v="65.53"/>
    <n v="6487.72"/>
    <x v="0"/>
  </r>
  <r>
    <s v="1218"/>
    <x v="1"/>
    <x v="8"/>
    <x v="1"/>
    <s v="9956366902"/>
    <s v="Васильева П.Д."/>
    <s v="Оплата по договору 9956366902 за водоснабжение и водоотведение март 2026"/>
    <n v="3945.85"/>
    <n v="39.46"/>
    <n v="3906.39"/>
    <x v="0"/>
  </r>
  <r>
    <s v="1218"/>
    <x v="1"/>
    <x v="8"/>
    <x v="0"/>
    <s v="9912034628"/>
    <s v="Соколов П.Н."/>
    <s v="Оплата по договору 9912034628 за водоснабжение февраль 2026"/>
    <n v="5208.2700000000004"/>
    <n v="52.08"/>
    <n v="5156.1899999999996"/>
    <x v="0"/>
  </r>
  <r>
    <s v="1218"/>
    <x v="1"/>
    <x v="8"/>
    <x v="1"/>
    <s v="9915629378"/>
    <s v="Фёдорова П.Н."/>
    <s v="Оплата по договору 9915629378 за водоотведение март 2026"/>
    <n v="8032.94"/>
    <n v="80.33"/>
    <n v="7952.61"/>
    <x v="0"/>
  </r>
  <r>
    <s v="1219"/>
    <x v="0"/>
    <x v="9"/>
    <x v="0"/>
    <s v="9953438575"/>
    <s v="Лебедева Д.К."/>
    <s v="Оплата по договору 9953438575 за водоснабжение февраль 2026"/>
    <n v="4402.9399999999996"/>
    <n v="44.03"/>
    <n v="4358.91"/>
    <x v="0"/>
  </r>
  <r>
    <s v="1219"/>
    <x v="0"/>
    <x v="9"/>
    <x v="0"/>
    <s v="9991186040"/>
    <s v="Попов М.П."/>
    <s v="Оплата по договору 9991186040 за водоснабжение март 2026"/>
    <n v="1470.58"/>
    <n v="14.71"/>
    <n v="1455.87"/>
    <x v="0"/>
  </r>
  <r>
    <s v="1219"/>
    <x v="0"/>
    <x v="9"/>
    <x v="2"/>
    <s v="9956669073"/>
    <s v="Смирнов Г.С."/>
    <s v="Оплата по договору 9956669073 за водоотведение март 2026"/>
    <n v="4127.9799999999996"/>
    <n v="0"/>
    <n v="4127.9799999999996"/>
    <x v="0"/>
  </r>
  <r>
    <s v="1219"/>
    <x v="0"/>
    <x v="9"/>
    <x v="2"/>
    <s v="9932203407"/>
    <s v="Кузнецова А.А."/>
    <s v="Оплата по договору 9932203407 за водоснабжение и водоотведение январь 2026"/>
    <n v="8753.73"/>
    <n v="87.54"/>
    <n v="8666.19"/>
    <x v="0"/>
  </r>
  <r>
    <s v="1219"/>
    <x v="0"/>
    <x v="9"/>
    <x v="1"/>
    <s v="9978721495"/>
    <s v="Смирнов Л.С."/>
    <s v="Оплата по договору 9978721495 за водоотведение февраль 2026"/>
    <n v="579.09"/>
    <n v="5.79"/>
    <n v="573.29999999999995"/>
    <x v="0"/>
  </r>
  <r>
    <s v="1219"/>
    <x v="0"/>
    <x v="9"/>
    <x v="0"/>
    <s v="9914862807"/>
    <s v="Васильева С.Б."/>
    <s v="Оплата по договору 9914862807 за водоснабжение февраль 2026"/>
    <n v="8870.31"/>
    <n v="88.7"/>
    <n v="8781.61"/>
    <x v="0"/>
  </r>
  <r>
    <s v="1219"/>
    <x v="0"/>
    <x v="9"/>
    <x v="1"/>
    <s v="9967962320"/>
    <s v="Фёдорова Е.Л."/>
    <s v="Оплата по договору 9967962320 за водоснабжение февраль 2026"/>
    <n v="1742.27"/>
    <n v="17.420000000000002"/>
    <n v="1724.85"/>
    <x v="0"/>
  </r>
  <r>
    <s v="1219"/>
    <x v="0"/>
    <x v="9"/>
    <x v="0"/>
    <s v="9903320452"/>
    <s v="Фёдорова Б.П."/>
    <s v="Оплата по договору 9903320452 за водоснабжение и водоотведение январь 2026"/>
    <n v="7492.31"/>
    <n v="0"/>
    <n v="7492.31"/>
    <x v="0"/>
  </r>
  <r>
    <s v="1219"/>
    <x v="0"/>
    <x v="9"/>
    <x v="1"/>
    <s v="9938601278"/>
    <s v="Козлов Л.К."/>
    <s v="Оплата по договору 9938601278 за водоотведение январь 2026"/>
    <n v="3427.46"/>
    <n v="34.270000000000003"/>
    <n v="3393.19"/>
    <x v="0"/>
  </r>
  <r>
    <s v="1219"/>
    <x v="0"/>
    <x v="9"/>
    <x v="0"/>
    <s v="9915988000"/>
    <s v="Фёдорова П.И."/>
    <s v="Оплата по договору 9915988000 за водоотведение январь 2026"/>
    <n v="2767.59"/>
    <n v="27.68"/>
    <n v="2739.91"/>
    <x v="0"/>
  </r>
  <r>
    <s v="1219"/>
    <x v="0"/>
    <x v="9"/>
    <x v="2"/>
    <s v="9956669073"/>
    <s v="Козлов Д.Б."/>
    <s v="Оплата по договору 9956669073 за водоотведение март 2026"/>
    <n v="7207.13"/>
    <n v="72.069999999999993"/>
    <n v="7135.06"/>
    <x v="0"/>
  </r>
  <r>
    <s v="1219"/>
    <x v="0"/>
    <x v="9"/>
    <x v="1"/>
    <s v="9915629378"/>
    <s v="Козлов О.О."/>
    <s v="Оплата по договору 9915629378 за водоотведение март 2026"/>
    <n v="6283.47"/>
    <n v="0"/>
    <n v="6283.47"/>
    <x v="0"/>
  </r>
  <r>
    <s v="1220"/>
    <x v="1"/>
    <x v="9"/>
    <x v="2"/>
    <s v="9956669073"/>
    <s v="Козлов А.О."/>
    <s v="Оплата по договору 9956669073 за водоотведение январь 2026"/>
    <n v="7628.57"/>
    <n v="76.290000000000006"/>
    <n v="7552.28"/>
    <x v="0"/>
  </r>
  <r>
    <s v="1220"/>
    <x v="1"/>
    <x v="9"/>
    <x v="2"/>
    <s v="9956669073"/>
    <s v="Козлов Д.Д."/>
    <s v="Оплата по договору 9956669073 за водоотведение февраль 2026"/>
    <n v="2905.45"/>
    <n v="29.05"/>
    <n v="2876.4"/>
    <x v="0"/>
  </r>
  <r>
    <s v="1220"/>
    <x v="1"/>
    <x v="9"/>
    <x v="4"/>
    <s v="9953948553"/>
    <s v="Соколов Л.А."/>
    <s v="Оплата по договору 9953948553 за водоотведение февраль 2026"/>
    <n v="4111.87"/>
    <n v="0"/>
    <n v="4111.87"/>
    <x v="0"/>
  </r>
  <r>
    <s v="1220"/>
    <x v="1"/>
    <x v="9"/>
    <x v="0"/>
    <s v="9933757517"/>
    <s v="Фёдорова М.О."/>
    <s v="Оплата по договору 9933757517 за водоснабжение февраль 2026"/>
    <n v="4745.8599999999997"/>
    <n v="47.46"/>
    <n v="4698.3999999999996"/>
    <x v="0"/>
  </r>
  <r>
    <s v="1220"/>
    <x v="1"/>
    <x v="9"/>
    <x v="0"/>
    <s v="9991186040"/>
    <s v="Васильева В.Б."/>
    <s v="Оплата по договору 9991186040 за водоотведение март 2026"/>
    <n v="3120.02"/>
    <n v="31.2"/>
    <n v="3088.82"/>
    <x v="0"/>
  </r>
  <r>
    <s v="1220"/>
    <x v="1"/>
    <x v="9"/>
    <x v="0"/>
    <s v="9915988000"/>
    <s v="Попов О.О."/>
    <s v="Оплата по договору 9915988000 за водоснабжение февраль 2026"/>
    <n v="2510.5700000000002"/>
    <n v="0"/>
    <n v="2510.5700000000002"/>
    <x v="0"/>
  </r>
  <r>
    <s v="1220"/>
    <x v="1"/>
    <x v="9"/>
    <x v="1"/>
    <s v="9916376341"/>
    <s v="Лебедева Г.О."/>
    <s v="Оплата по договору 9916376341 за водоотведение январь 2026"/>
    <n v="917.73"/>
    <n v="0"/>
    <n v="917.73"/>
    <x v="0"/>
  </r>
  <r>
    <s v="1220"/>
    <x v="1"/>
    <x v="9"/>
    <x v="0"/>
    <s v="9991186040"/>
    <s v="Соколов Д.С."/>
    <s v="Оплата по договору 9991186040 за водоотведение февраль 2026"/>
    <n v="4100.33"/>
    <n v="41"/>
    <n v="4059.33"/>
    <x v="0"/>
  </r>
  <r>
    <s v="1220"/>
    <x v="1"/>
    <x v="9"/>
    <x v="1"/>
    <s v="9948793812"/>
    <s v="Лебедева О.К."/>
    <s v="Оплата по договору 9948793812 за водоснабжение январь 2026"/>
    <n v="6266.29"/>
    <n v="62.66"/>
    <n v="6203.63"/>
    <x v="0"/>
  </r>
  <r>
    <s v="1220"/>
    <x v="1"/>
    <x v="9"/>
    <x v="1"/>
    <s v="9990503438"/>
    <s v="Волков К.И."/>
    <s v="Оплата по договору 9990503438 за водоснабжение январь 2026"/>
    <n v="2076.77"/>
    <n v="20.77"/>
    <n v="2056"/>
    <x v="0"/>
  </r>
  <r>
    <s v="1220"/>
    <x v="1"/>
    <x v="9"/>
    <x v="1"/>
    <s v="9901542004"/>
    <s v="Новиков Н.О."/>
    <s v="Оплата по договору 9901542004 за водоснабжение март 2026"/>
    <n v="8629.9699999999993"/>
    <n v="0"/>
    <n v="8629.9699999999993"/>
    <x v="0"/>
  </r>
  <r>
    <s v="1220"/>
    <x v="1"/>
    <x v="9"/>
    <x v="0"/>
    <s v="9995901695"/>
    <s v="Лебедева С.Е."/>
    <s v="Оплата по договору 9995901695 за водоснабжение и водоотведение март 2026"/>
    <n v="2977.96"/>
    <n v="29.78"/>
    <n v="2948.18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02C3DC-2E46-4211-A4E3-52417D2D7FE2}" name="Сводная таблица1" cacheId="13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3:G15" firstHeaderRow="1" firstDataRow="2" firstDataCol="1" rowPageCount="1" colPageCount="1"/>
  <pivotFields count="11">
    <pivotField showAll="0"/>
    <pivotField showAll="0">
      <items count="3">
        <item x="0"/>
        <item x="1"/>
        <item t="default"/>
      </items>
    </pivotField>
    <pivotField axis="axisRow" numFmtId="14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Col" showAll="0">
      <items count="6">
        <item x="0"/>
        <item x="1"/>
        <item x="4"/>
        <item x="2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axis="axisPage" showAll="0">
      <items count="3">
        <item x="0"/>
        <item x="1"/>
        <item t="default"/>
      </items>
    </pivotField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10" hier="-1"/>
  </pageFields>
  <dataFields count="1">
    <dataField name="Сумма по полю Перечислено" fld="9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1DCF5D88-3928-4330-890B-C057D3BE4BBE}" autoFormatId="16" applyNumberFormats="0" applyBorderFormats="0" applyFontFormats="0" applyPatternFormats="0" applyAlignmentFormats="0" applyWidthHeightFormats="0">
  <queryTableRefresh nextId="12">
    <queryTableFields count="11">
      <queryTableField id="1" name="Номер реестра" tableColumnId="1"/>
      <queryTableField id="2" name="Окончание счёта" tableColumnId="2"/>
      <queryTableField id="3" name="Дата платежа" tableColumnId="3"/>
      <queryTableField id="4" name="Филиал" tableColumnId="4"/>
      <queryTableField id="5" name="№ договора" tableColumnId="5"/>
      <queryTableField id="6" name="Плательщик" tableColumnId="6"/>
      <queryTableField id="7" name="Назначение платежа" tableColumnId="7"/>
      <queryTableField id="8" name="Принято" tableColumnId="8"/>
      <queryTableField id="9" name="Комиссия" tableColumnId="9"/>
      <queryTableField id="10" name="Перечислено" tableColumnId="10"/>
      <queryTableField id="11" name="Проверка суммы" tableColumnId="11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Окончание_счёта" xr10:uid="{0E6F0976-5523-4329-AD4A-9761AE47AC38}" sourceName="Окончание счёта">
  <pivotTables>
    <pivotTable tabId="5" name="Сводная таблица1"/>
  </pivotTables>
  <data>
    <tabular pivotCacheId="1280153771">
      <items count="2">
        <i x="0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Окончание счёта" xr10:uid="{247B3F36-5541-4B6B-8C35-8B443F93A830}" cache="Срез_Окончание_счёта" caption="Окончание счёта" rowHeight="241300"/>
</slicer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34B341-FE2F-40E4-91BB-797352C0814B}" name="tParam" displayName="tParam" ref="A1:B2" totalsRowShown="0">
  <autoFilter ref="A1:B2" xr:uid="{EE34B341-FE2F-40E4-91BB-797352C0814B}"/>
  <tableColumns count="2">
    <tableColumn id="1" xr3:uid="{2C5E0F60-CE5E-4977-9D69-DC3220E92900}" name="Param"/>
    <tableColumn id="2" xr3:uid="{CFF660AC-9E0C-4D4B-9289-FD3F803F6C14}" name="Value" dataCellStyle="Гиперссылка">
      <calculatedColumnFormula array="1">LEFT(CELL("filename",A1),FIND("[",CELL("имяфайла",A1))-1)&amp;"data\registries\"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D0ECCFE-8358-4542-8724-F45EEE6B2182}" name="Реестры" displayName="Реестры" ref="A1:K217" tableType="queryTable" totalsRowShown="0">
  <autoFilter ref="A1:K217" xr:uid="{3D0ECCFE-8358-4542-8724-F45EEE6B2182}"/>
  <tableColumns count="11">
    <tableColumn id="1" xr3:uid="{15C22AD8-1E8B-4B1F-B08F-83849C8DB5AF}" uniqueName="1" name="Номер реестра" queryTableFieldId="1" dataDxfId="8"/>
    <tableColumn id="2" xr3:uid="{37C44314-C633-4D0B-A08C-5B3C6C27EA24}" uniqueName="2" name="Окончание счёта" queryTableFieldId="2" dataDxfId="7"/>
    <tableColumn id="3" xr3:uid="{6E291DD9-89BA-4D61-93EA-F9B570A58070}" uniqueName="3" name="Дата платежа" queryTableFieldId="3" dataDxfId="3"/>
    <tableColumn id="4" xr3:uid="{1C8C1B8B-D9D4-47E9-8D5B-15A752823CA6}" uniqueName="4" name="Филиал" queryTableFieldId="4" dataDxfId="6"/>
    <tableColumn id="5" xr3:uid="{31DB293F-10DE-45E7-94E7-DF578D519AAF}" uniqueName="5" name="№ договора" queryTableFieldId="5" dataDxfId="5"/>
    <tableColumn id="6" xr3:uid="{A8C4AA1F-B323-434F-A55A-0D10FFD45B02}" uniqueName="6" name="Плательщик" queryTableFieldId="6"/>
    <tableColumn id="7" xr3:uid="{DD7C7A0E-1D1C-46F2-AC43-1183F5A8F963}" uniqueName="7" name="Назначение платежа" queryTableFieldId="7"/>
    <tableColumn id="8" xr3:uid="{7892BBB7-08AD-4F0C-A77A-040294807481}" uniqueName="8" name="Принято" queryTableFieldId="8" dataDxfId="2"/>
    <tableColumn id="9" xr3:uid="{8475FC55-5FC6-4DB9-99A8-A5B3F7D2DE2D}" uniqueName="9" name="Комиссия" queryTableFieldId="9" dataDxfId="1"/>
    <tableColumn id="10" xr3:uid="{5C21F392-1F97-4791-8EEF-1FF405E6249F}" uniqueName="10" name="Перечислено" queryTableFieldId="10" dataDxfId="0"/>
    <tableColumn id="11" xr3:uid="{AE1CA8F6-A0A1-4637-9034-4C74E15560BC}" uniqueName="11" name="Проверка суммы" queryTableFieldId="11" dataDxfId="4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792DA04-821D-42EB-AA98-4C6B06B0C465}" name="tContracts" displayName="tContracts" ref="A1:B41" totalsRowShown="0">
  <autoFilter ref="A1:B41" xr:uid="{E792DA04-821D-42EB-AA98-4C6B06B0C465}"/>
  <tableColumns count="2">
    <tableColumn id="1" xr3:uid="{B2B7BC26-563E-448E-B2AA-88D2A5E794D8}" name="Договор"/>
    <tableColumn id="2" xr3:uid="{38FD4B65-6E44-45CC-84CF-5334E8288B05}" name="Филиал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data/registries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E20" sqref="E20"/>
    </sheetView>
  </sheetViews>
  <sheetFormatPr defaultRowHeight="14.5" x14ac:dyDescent="0.35"/>
  <cols>
    <col min="1" max="1" width="9.90625" customWidth="1"/>
    <col min="2" max="2" width="70.90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s="2" t="str" cm="1">
        <f t="array" aca="1" ref="B2" ca="1">LEFT(CELL("filename",A1),FIND("[",CELL("имяфайла",A1))-1)&amp;"data\registries\"</f>
        <v>C:\Examples\payment-registry-automation\data\registries\</v>
      </c>
    </row>
  </sheetData>
  <hyperlinks>
    <hyperlink ref="B2" r:id="rId1" display="C:\Examples\payment-registry-automation\data\registries\" xr:uid="{0702D99C-A98B-4712-BC27-43A262BC8850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31A3B-AC16-4DFC-9142-0C87B039E306}">
  <dimension ref="A1:G15"/>
  <sheetViews>
    <sheetView tabSelected="1" workbookViewId="0">
      <selection activeCell="D35" sqref="D35"/>
    </sheetView>
  </sheetViews>
  <sheetFormatPr defaultRowHeight="14.5" x14ac:dyDescent="0.35"/>
  <cols>
    <col min="1" max="1" width="27" bestFit="1" customWidth="1"/>
    <col min="2" max="2" width="20.08984375" bestFit="1" customWidth="1"/>
    <col min="3" max="3" width="17.08984375" bestFit="1" customWidth="1"/>
    <col min="4" max="4" width="17.26953125" bestFit="1" customWidth="1"/>
    <col min="5" max="5" width="17" bestFit="1" customWidth="1"/>
    <col min="6" max="6" width="15" bestFit="1" customWidth="1"/>
    <col min="7" max="7" width="11.1796875" bestFit="1" customWidth="1"/>
  </cols>
  <sheetData>
    <row r="1" spans="1:7" x14ac:dyDescent="0.35">
      <c r="A1" s="4" t="s">
        <v>58</v>
      </c>
      <c r="B1" t="s">
        <v>454</v>
      </c>
    </row>
    <row r="3" spans="1:7" x14ac:dyDescent="0.35">
      <c r="A3" s="4" t="s">
        <v>453</v>
      </c>
      <c r="B3" s="4" t="s">
        <v>452</v>
      </c>
    </row>
    <row r="4" spans="1:7" x14ac:dyDescent="0.35">
      <c r="A4" s="4" t="s">
        <v>450</v>
      </c>
      <c r="B4" t="s">
        <v>6</v>
      </c>
      <c r="C4" t="s">
        <v>5</v>
      </c>
      <c r="D4" t="s">
        <v>140</v>
      </c>
      <c r="E4" t="s">
        <v>7</v>
      </c>
      <c r="F4" t="s">
        <v>8</v>
      </c>
      <c r="G4" t="s">
        <v>451</v>
      </c>
    </row>
    <row r="5" spans="1:7" x14ac:dyDescent="0.35">
      <c r="A5" s="5">
        <v>46083</v>
      </c>
      <c r="B5" s="6">
        <v>12043.97</v>
      </c>
      <c r="C5" s="6">
        <v>61533.72</v>
      </c>
      <c r="D5" s="6"/>
      <c r="E5" s="6">
        <v>17476.37</v>
      </c>
      <c r="F5" s="6">
        <v>13887.26</v>
      </c>
      <c r="G5" s="6">
        <v>104941.31999999999</v>
      </c>
    </row>
    <row r="6" spans="1:7" x14ac:dyDescent="0.35">
      <c r="A6" s="5">
        <v>46084</v>
      </c>
      <c r="B6" s="6">
        <v>39189.51</v>
      </c>
      <c r="C6" s="6">
        <v>25745.3</v>
      </c>
      <c r="D6" s="6">
        <v>7076.61</v>
      </c>
      <c r="E6" s="6">
        <v>41856.369999999995</v>
      </c>
      <c r="F6" s="6">
        <v>6302.13</v>
      </c>
      <c r="G6" s="6">
        <v>120169.92</v>
      </c>
    </row>
    <row r="7" spans="1:7" x14ac:dyDescent="0.35">
      <c r="A7" s="5">
        <v>46085</v>
      </c>
      <c r="B7" s="6">
        <v>24981.339999999997</v>
      </c>
      <c r="C7" s="6">
        <v>37651.350000000006</v>
      </c>
      <c r="D7" s="6">
        <v>7917.64</v>
      </c>
      <c r="E7" s="6">
        <v>8829.84</v>
      </c>
      <c r="F7" s="6">
        <v>10259.58</v>
      </c>
      <c r="G7" s="6">
        <v>89639.75</v>
      </c>
    </row>
    <row r="8" spans="1:7" x14ac:dyDescent="0.35">
      <c r="A8" s="5">
        <v>46086</v>
      </c>
      <c r="B8" s="6">
        <v>21536.27</v>
      </c>
      <c r="C8" s="6">
        <v>23993.969999999998</v>
      </c>
      <c r="D8" s="6"/>
      <c r="E8" s="6">
        <v>6787.1100000000006</v>
      </c>
      <c r="F8" s="6">
        <v>24105.03</v>
      </c>
      <c r="G8" s="6">
        <v>76422.38</v>
      </c>
    </row>
    <row r="9" spans="1:7" x14ac:dyDescent="0.35">
      <c r="A9" s="5">
        <v>46087</v>
      </c>
      <c r="B9" s="6">
        <v>31373.120000000003</v>
      </c>
      <c r="C9" s="6">
        <v>57355.280000000013</v>
      </c>
      <c r="D9" s="6">
        <v>3533.46</v>
      </c>
      <c r="E9" s="6">
        <v>8763.98</v>
      </c>
      <c r="F9" s="6">
        <v>2345.4499999999998</v>
      </c>
      <c r="G9" s="6">
        <v>103371.29000000002</v>
      </c>
    </row>
    <row r="10" spans="1:7" x14ac:dyDescent="0.35">
      <c r="A10" s="5">
        <v>46090</v>
      </c>
      <c r="B10" s="6">
        <v>31221.159999999996</v>
      </c>
      <c r="C10" s="6">
        <v>42206.84</v>
      </c>
      <c r="D10" s="6">
        <v>1918.86</v>
      </c>
      <c r="E10" s="6">
        <v>26295.03</v>
      </c>
      <c r="F10" s="6">
        <v>4331.6899999999996</v>
      </c>
      <c r="G10" s="6">
        <v>105973.58</v>
      </c>
    </row>
    <row r="11" spans="1:7" x14ac:dyDescent="0.35">
      <c r="A11" s="5">
        <v>46091</v>
      </c>
      <c r="B11" s="6">
        <v>12493.449999999999</v>
      </c>
      <c r="C11" s="6">
        <v>33192.839999999997</v>
      </c>
      <c r="D11" s="6">
        <v>2994.06</v>
      </c>
      <c r="E11" s="6">
        <v>3468.29</v>
      </c>
      <c r="F11" s="6">
        <v>17365.16</v>
      </c>
      <c r="G11" s="6">
        <v>69513.799999999988</v>
      </c>
    </row>
    <row r="12" spans="1:7" x14ac:dyDescent="0.35">
      <c r="A12" s="5">
        <v>46092</v>
      </c>
      <c r="B12" s="6">
        <v>31880.07</v>
      </c>
      <c r="C12" s="6">
        <v>46228.14</v>
      </c>
      <c r="D12" s="6">
        <v>3342.1</v>
      </c>
      <c r="E12" s="6">
        <v>19404</v>
      </c>
      <c r="F12" s="6"/>
      <c r="G12" s="6">
        <v>100854.31</v>
      </c>
    </row>
    <row r="13" spans="1:7" x14ac:dyDescent="0.35">
      <c r="A13" s="5">
        <v>46093</v>
      </c>
      <c r="B13" s="6">
        <v>5985.41</v>
      </c>
      <c r="C13" s="6">
        <v>53773.270000000004</v>
      </c>
      <c r="D13" s="6">
        <v>4449.88</v>
      </c>
      <c r="E13" s="6">
        <v>15318.67</v>
      </c>
      <c r="F13" s="6">
        <v>9451.02</v>
      </c>
      <c r="G13" s="6">
        <v>88978.250000000015</v>
      </c>
    </row>
    <row r="14" spans="1:7" x14ac:dyDescent="0.35">
      <c r="A14" s="5">
        <v>46094</v>
      </c>
      <c r="B14" s="6">
        <v>42133.91</v>
      </c>
      <c r="C14" s="6">
        <v>29782.14</v>
      </c>
      <c r="D14" s="6">
        <v>4111.87</v>
      </c>
      <c r="E14" s="6">
        <v>30357.91</v>
      </c>
      <c r="F14" s="6"/>
      <c r="G14" s="6">
        <v>106385.83</v>
      </c>
    </row>
    <row r="15" spans="1:7" x14ac:dyDescent="0.35">
      <c r="A15" s="5" t="s">
        <v>451</v>
      </c>
      <c r="B15" s="6">
        <v>252838.21000000005</v>
      </c>
      <c r="C15" s="6">
        <v>411462.85000000003</v>
      </c>
      <c r="D15" s="6">
        <v>35344.480000000003</v>
      </c>
      <c r="E15" s="6">
        <v>178557.57</v>
      </c>
      <c r="F15" s="6">
        <v>88047.32</v>
      </c>
      <c r="G15" s="6">
        <v>966250.43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81FBB-4104-4087-BD3E-E8C63E55B188}">
  <dimension ref="A1:K217"/>
  <sheetViews>
    <sheetView zoomScale="92" zoomScaleNormal="92" workbookViewId="0">
      <selection sqref="A1:K217"/>
    </sheetView>
  </sheetViews>
  <sheetFormatPr defaultRowHeight="14.5" x14ac:dyDescent="0.35"/>
  <cols>
    <col min="1" max="1" width="16.36328125" bestFit="1" customWidth="1"/>
    <col min="2" max="2" width="18" bestFit="1" customWidth="1"/>
    <col min="3" max="3" width="15.26953125" bestFit="1" customWidth="1"/>
    <col min="4" max="4" width="17.26953125" bestFit="1" customWidth="1"/>
    <col min="5" max="5" width="13.90625" bestFit="1" customWidth="1"/>
    <col min="6" max="6" width="14.54296875" bestFit="1" customWidth="1"/>
    <col min="7" max="7" width="74.08984375" bestFit="1" customWidth="1"/>
    <col min="8" max="8" width="10.54296875" bestFit="1" customWidth="1"/>
    <col min="9" max="9" width="11.54296875" bestFit="1" customWidth="1"/>
    <col min="10" max="10" width="14.6328125" bestFit="1" customWidth="1"/>
    <col min="11" max="11" width="18.26953125" bestFit="1" customWidth="1"/>
  </cols>
  <sheetData>
    <row r="1" spans="1:11" x14ac:dyDescent="0.35">
      <c r="A1" t="s">
        <v>49</v>
      </c>
      <c r="B1" t="s">
        <v>50</v>
      </c>
      <c r="C1" t="s">
        <v>51</v>
      </c>
      <c r="D1" t="s">
        <v>4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</row>
    <row r="2" spans="1:11" x14ac:dyDescent="0.35">
      <c r="A2" t="s">
        <v>59</v>
      </c>
      <c r="B2" t="s">
        <v>60</v>
      </c>
      <c r="C2" s="3">
        <v>46083</v>
      </c>
      <c r="D2" t="s">
        <v>6</v>
      </c>
      <c r="E2" t="s">
        <v>46</v>
      </c>
      <c r="F2" t="s">
        <v>61</v>
      </c>
      <c r="G2" t="s">
        <v>62</v>
      </c>
      <c r="H2" s="6">
        <v>5624.66</v>
      </c>
      <c r="I2" s="6">
        <v>0</v>
      </c>
      <c r="J2" s="6">
        <v>5624.66</v>
      </c>
      <c r="K2" t="s">
        <v>63</v>
      </c>
    </row>
    <row r="3" spans="1:11" x14ac:dyDescent="0.35">
      <c r="A3" t="s">
        <v>59</v>
      </c>
      <c r="B3" t="s">
        <v>60</v>
      </c>
      <c r="C3" s="3">
        <v>46083</v>
      </c>
      <c r="D3" t="s">
        <v>5</v>
      </c>
      <c r="E3" t="s">
        <v>37</v>
      </c>
      <c r="F3" t="s">
        <v>64</v>
      </c>
      <c r="G3" t="s">
        <v>65</v>
      </c>
      <c r="H3" s="6">
        <v>2858.14</v>
      </c>
      <c r="I3" s="6">
        <v>28.58</v>
      </c>
      <c r="J3" s="6">
        <v>2829.56</v>
      </c>
      <c r="K3" t="s">
        <v>63</v>
      </c>
    </row>
    <row r="4" spans="1:11" x14ac:dyDescent="0.35">
      <c r="A4" t="s">
        <v>59</v>
      </c>
      <c r="B4" t="s">
        <v>60</v>
      </c>
      <c r="C4" s="3">
        <v>46083</v>
      </c>
      <c r="D4" t="s">
        <v>5</v>
      </c>
      <c r="E4" t="s">
        <v>37</v>
      </c>
      <c r="F4" t="s">
        <v>66</v>
      </c>
      <c r="G4" t="s">
        <v>65</v>
      </c>
      <c r="H4" s="6">
        <v>1311.26</v>
      </c>
      <c r="I4" s="6">
        <v>13.11</v>
      </c>
      <c r="J4" s="6">
        <v>1298.1500000000001</v>
      </c>
      <c r="K4" t="s">
        <v>63</v>
      </c>
    </row>
    <row r="5" spans="1:11" x14ac:dyDescent="0.35">
      <c r="A5" t="s">
        <v>59</v>
      </c>
      <c r="B5" t="s">
        <v>60</v>
      </c>
      <c r="C5" s="3">
        <v>46083</v>
      </c>
      <c r="D5" t="s">
        <v>5</v>
      </c>
      <c r="E5" t="s">
        <v>23</v>
      </c>
      <c r="F5" t="s">
        <v>67</v>
      </c>
      <c r="G5" t="s">
        <v>68</v>
      </c>
      <c r="H5" s="6">
        <v>6066.02</v>
      </c>
      <c r="I5" s="6">
        <v>60.66</v>
      </c>
      <c r="J5" s="6">
        <v>6005.36</v>
      </c>
      <c r="K5" t="s">
        <v>63</v>
      </c>
    </row>
    <row r="6" spans="1:11" x14ac:dyDescent="0.35">
      <c r="A6" t="s">
        <v>59</v>
      </c>
      <c r="B6" t="s">
        <v>60</v>
      </c>
      <c r="C6" s="3">
        <v>46083</v>
      </c>
      <c r="D6" t="s">
        <v>6</v>
      </c>
      <c r="E6" t="s">
        <v>15</v>
      </c>
      <c r="F6" t="s">
        <v>69</v>
      </c>
      <c r="G6" t="s">
        <v>70</v>
      </c>
      <c r="H6" s="6">
        <v>965.69</v>
      </c>
      <c r="I6" s="6">
        <v>9.66</v>
      </c>
      <c r="J6" s="6">
        <v>956.03</v>
      </c>
      <c r="K6" t="s">
        <v>63</v>
      </c>
    </row>
    <row r="7" spans="1:11" x14ac:dyDescent="0.35">
      <c r="A7" t="s">
        <v>59</v>
      </c>
      <c r="B7" t="s">
        <v>60</v>
      </c>
      <c r="C7" s="3">
        <v>46083</v>
      </c>
      <c r="D7" t="s">
        <v>5</v>
      </c>
      <c r="E7" t="s">
        <v>19</v>
      </c>
      <c r="F7" t="s">
        <v>71</v>
      </c>
      <c r="G7" t="s">
        <v>72</v>
      </c>
      <c r="H7" s="6">
        <v>8710.32</v>
      </c>
      <c r="I7" s="6">
        <v>87.1</v>
      </c>
      <c r="J7" s="6">
        <v>8623.2199999999993</v>
      </c>
      <c r="K7" t="s">
        <v>63</v>
      </c>
    </row>
    <row r="8" spans="1:11" x14ac:dyDescent="0.35">
      <c r="A8" t="s">
        <v>59</v>
      </c>
      <c r="B8" t="s">
        <v>60</v>
      </c>
      <c r="C8" s="3">
        <v>46083</v>
      </c>
      <c r="D8" t="s">
        <v>5</v>
      </c>
      <c r="E8" t="s">
        <v>47</v>
      </c>
      <c r="F8" t="s">
        <v>73</v>
      </c>
      <c r="G8" t="s">
        <v>74</v>
      </c>
      <c r="H8" s="6">
        <v>7300.44</v>
      </c>
      <c r="I8" s="6">
        <v>73</v>
      </c>
      <c r="J8" s="6">
        <v>7227.44</v>
      </c>
      <c r="K8" t="s">
        <v>63</v>
      </c>
    </row>
    <row r="9" spans="1:11" x14ac:dyDescent="0.35">
      <c r="A9" t="s">
        <v>59</v>
      </c>
      <c r="B9" t="s">
        <v>60</v>
      </c>
      <c r="C9" s="3">
        <v>46083</v>
      </c>
      <c r="D9" t="s">
        <v>5</v>
      </c>
      <c r="E9" t="s">
        <v>27</v>
      </c>
      <c r="F9" t="s">
        <v>75</v>
      </c>
      <c r="G9" t="s">
        <v>76</v>
      </c>
      <c r="H9" s="6">
        <v>8420.7099999999991</v>
      </c>
      <c r="I9" s="6">
        <v>84.21</v>
      </c>
      <c r="J9" s="6">
        <v>8336.5</v>
      </c>
      <c r="K9" t="s">
        <v>63</v>
      </c>
    </row>
    <row r="10" spans="1:11" x14ac:dyDescent="0.35">
      <c r="A10" t="s">
        <v>59</v>
      </c>
      <c r="B10" t="s">
        <v>60</v>
      </c>
      <c r="C10" s="3">
        <v>46083</v>
      </c>
      <c r="D10" t="s">
        <v>5</v>
      </c>
      <c r="E10" t="s">
        <v>23</v>
      </c>
      <c r="F10" t="s">
        <v>77</v>
      </c>
      <c r="G10" t="s">
        <v>78</v>
      </c>
      <c r="H10" s="6">
        <v>232.1</v>
      </c>
      <c r="I10" s="6">
        <v>0</v>
      </c>
      <c r="J10" s="6">
        <v>232.1</v>
      </c>
      <c r="K10" t="s">
        <v>63</v>
      </c>
    </row>
    <row r="11" spans="1:11" x14ac:dyDescent="0.35">
      <c r="A11" t="s">
        <v>59</v>
      </c>
      <c r="B11" t="s">
        <v>60</v>
      </c>
      <c r="C11" s="3">
        <v>46083</v>
      </c>
      <c r="D11" t="s">
        <v>7</v>
      </c>
      <c r="E11" t="s">
        <v>32</v>
      </c>
      <c r="F11" t="s">
        <v>79</v>
      </c>
      <c r="G11" t="s">
        <v>80</v>
      </c>
      <c r="H11" s="6">
        <v>1292.8900000000001</v>
      </c>
      <c r="I11" s="6">
        <v>12.93</v>
      </c>
      <c r="J11" s="6">
        <v>1279.96</v>
      </c>
      <c r="K11" t="s">
        <v>63</v>
      </c>
    </row>
    <row r="12" spans="1:11" x14ac:dyDescent="0.35">
      <c r="A12" t="s">
        <v>59</v>
      </c>
      <c r="B12" t="s">
        <v>60</v>
      </c>
      <c r="C12" s="3">
        <v>46083</v>
      </c>
      <c r="D12" t="s">
        <v>5</v>
      </c>
      <c r="E12" t="s">
        <v>43</v>
      </c>
      <c r="F12" t="s">
        <v>81</v>
      </c>
      <c r="G12" t="s">
        <v>82</v>
      </c>
      <c r="H12" s="6">
        <v>3682.54</v>
      </c>
      <c r="I12" s="6">
        <v>0</v>
      </c>
      <c r="J12" s="6">
        <v>3682.54</v>
      </c>
      <c r="K12" t="s">
        <v>63</v>
      </c>
    </row>
    <row r="13" spans="1:11" x14ac:dyDescent="0.35">
      <c r="A13" t="s">
        <v>83</v>
      </c>
      <c r="B13" t="s">
        <v>84</v>
      </c>
      <c r="C13" s="3">
        <v>46083</v>
      </c>
      <c r="D13" t="s">
        <v>6</v>
      </c>
      <c r="E13" t="s">
        <v>22</v>
      </c>
      <c r="F13" t="s">
        <v>85</v>
      </c>
      <c r="G13" t="s">
        <v>86</v>
      </c>
      <c r="H13" s="6">
        <v>5113.6400000000003</v>
      </c>
      <c r="I13" s="6">
        <v>51.14</v>
      </c>
      <c r="J13" s="6">
        <v>5062.5</v>
      </c>
      <c r="K13" t="s">
        <v>63</v>
      </c>
    </row>
    <row r="14" spans="1:11" x14ac:dyDescent="0.35">
      <c r="A14" t="s">
        <v>83</v>
      </c>
      <c r="B14" t="s">
        <v>84</v>
      </c>
      <c r="C14" s="3">
        <v>46083</v>
      </c>
      <c r="D14" t="s">
        <v>6</v>
      </c>
      <c r="E14" t="s">
        <v>10</v>
      </c>
      <c r="F14" t="s">
        <v>87</v>
      </c>
      <c r="G14" t="s">
        <v>88</v>
      </c>
      <c r="H14" s="6">
        <v>404.83</v>
      </c>
      <c r="I14" s="6">
        <v>4.05</v>
      </c>
      <c r="J14" s="6">
        <v>400.78</v>
      </c>
      <c r="K14" t="s">
        <v>63</v>
      </c>
    </row>
    <row r="15" spans="1:11" x14ac:dyDescent="0.35">
      <c r="A15" t="s">
        <v>83</v>
      </c>
      <c r="B15" t="s">
        <v>84</v>
      </c>
      <c r="C15" s="3">
        <v>46083</v>
      </c>
      <c r="D15" t="s">
        <v>5</v>
      </c>
      <c r="E15" t="s">
        <v>16</v>
      </c>
      <c r="F15" t="s">
        <v>89</v>
      </c>
      <c r="G15" t="s">
        <v>90</v>
      </c>
      <c r="H15" s="6">
        <v>401.49</v>
      </c>
      <c r="I15" s="6">
        <v>4.01</v>
      </c>
      <c r="J15" s="6">
        <v>397.48</v>
      </c>
      <c r="K15" t="s">
        <v>63</v>
      </c>
    </row>
    <row r="16" spans="1:11" x14ac:dyDescent="0.35">
      <c r="A16" t="s">
        <v>83</v>
      </c>
      <c r="B16" t="s">
        <v>84</v>
      </c>
      <c r="C16" s="3">
        <v>46083</v>
      </c>
      <c r="D16" t="s">
        <v>7</v>
      </c>
      <c r="E16" t="s">
        <v>45</v>
      </c>
      <c r="F16" t="s">
        <v>91</v>
      </c>
      <c r="G16" t="s">
        <v>92</v>
      </c>
      <c r="H16" s="6">
        <v>3848.24</v>
      </c>
      <c r="I16" s="6">
        <v>38.479999999999997</v>
      </c>
      <c r="J16" s="6">
        <v>3809.76</v>
      </c>
      <c r="K16" t="s">
        <v>63</v>
      </c>
    </row>
    <row r="17" spans="1:11" x14ac:dyDescent="0.35">
      <c r="A17" t="s">
        <v>83</v>
      </c>
      <c r="B17" t="s">
        <v>84</v>
      </c>
      <c r="C17" s="3">
        <v>46083</v>
      </c>
      <c r="D17" t="s">
        <v>7</v>
      </c>
      <c r="E17" t="s">
        <v>34</v>
      </c>
      <c r="F17" t="s">
        <v>94</v>
      </c>
      <c r="G17" t="s">
        <v>95</v>
      </c>
      <c r="H17" s="6">
        <v>7923.99</v>
      </c>
      <c r="I17" s="6">
        <v>79.239999999999995</v>
      </c>
      <c r="J17" s="6">
        <v>7844.75</v>
      </c>
      <c r="K17" t="s">
        <v>63</v>
      </c>
    </row>
    <row r="18" spans="1:11" x14ac:dyDescent="0.35">
      <c r="A18" t="s">
        <v>83</v>
      </c>
      <c r="B18" t="s">
        <v>84</v>
      </c>
      <c r="C18" s="3">
        <v>46083</v>
      </c>
      <c r="D18" t="s">
        <v>5</v>
      </c>
      <c r="E18" t="s">
        <v>33</v>
      </c>
      <c r="F18" t="s">
        <v>96</v>
      </c>
      <c r="G18" t="s">
        <v>97</v>
      </c>
      <c r="H18" s="6">
        <v>2848.45</v>
      </c>
      <c r="I18" s="6">
        <v>28.48</v>
      </c>
      <c r="J18" s="6">
        <v>2819.97</v>
      </c>
      <c r="K18" t="s">
        <v>63</v>
      </c>
    </row>
    <row r="19" spans="1:11" x14ac:dyDescent="0.35">
      <c r="A19" t="s">
        <v>83</v>
      </c>
      <c r="B19" t="s">
        <v>84</v>
      </c>
      <c r="C19" s="3">
        <v>46083</v>
      </c>
      <c r="D19" t="s">
        <v>8</v>
      </c>
      <c r="E19" t="s">
        <v>31</v>
      </c>
      <c r="F19" t="s">
        <v>98</v>
      </c>
      <c r="G19" t="s">
        <v>99</v>
      </c>
      <c r="H19" s="6">
        <v>7199.93</v>
      </c>
      <c r="I19" s="6">
        <v>72</v>
      </c>
      <c r="J19" s="6">
        <v>7127.93</v>
      </c>
      <c r="K19" t="s">
        <v>63</v>
      </c>
    </row>
    <row r="20" spans="1:11" x14ac:dyDescent="0.35">
      <c r="A20" t="s">
        <v>83</v>
      </c>
      <c r="B20" t="s">
        <v>84</v>
      </c>
      <c r="C20" s="3">
        <v>46083</v>
      </c>
      <c r="D20" t="s">
        <v>5</v>
      </c>
      <c r="E20" t="s">
        <v>16</v>
      </c>
      <c r="F20" t="s">
        <v>100</v>
      </c>
      <c r="G20" t="s">
        <v>101</v>
      </c>
      <c r="H20" s="6">
        <v>7082.33</v>
      </c>
      <c r="I20" s="6">
        <v>70.819999999999993</v>
      </c>
      <c r="J20" s="6">
        <v>7011.51</v>
      </c>
      <c r="K20" t="s">
        <v>63</v>
      </c>
    </row>
    <row r="21" spans="1:11" x14ac:dyDescent="0.35">
      <c r="A21" t="s">
        <v>83</v>
      </c>
      <c r="B21" t="s">
        <v>84</v>
      </c>
      <c r="C21" s="3">
        <v>46083</v>
      </c>
      <c r="D21" t="s">
        <v>5</v>
      </c>
      <c r="E21" t="s">
        <v>23</v>
      </c>
      <c r="F21" t="s">
        <v>102</v>
      </c>
      <c r="G21" t="s">
        <v>78</v>
      </c>
      <c r="H21" s="6">
        <v>5068.83</v>
      </c>
      <c r="I21" s="6">
        <v>50.69</v>
      </c>
      <c r="J21" s="6">
        <v>5018.1400000000003</v>
      </c>
      <c r="K21" t="s">
        <v>63</v>
      </c>
    </row>
    <row r="22" spans="1:11" x14ac:dyDescent="0.35">
      <c r="A22" t="s">
        <v>83</v>
      </c>
      <c r="B22" t="s">
        <v>84</v>
      </c>
      <c r="C22" s="3">
        <v>46083</v>
      </c>
      <c r="D22" t="s">
        <v>7</v>
      </c>
      <c r="E22" t="s">
        <v>34</v>
      </c>
      <c r="F22" t="s">
        <v>103</v>
      </c>
      <c r="G22" t="s">
        <v>104</v>
      </c>
      <c r="H22" s="6">
        <v>1665.78</v>
      </c>
      <c r="I22" s="6">
        <v>16.66</v>
      </c>
      <c r="J22" s="6">
        <v>1649.12</v>
      </c>
      <c r="K22" t="s">
        <v>63</v>
      </c>
    </row>
    <row r="23" spans="1:11" x14ac:dyDescent="0.35">
      <c r="A23" t="s">
        <v>83</v>
      </c>
      <c r="B23" t="s">
        <v>84</v>
      </c>
      <c r="C23" s="3">
        <v>46083</v>
      </c>
      <c r="D23" t="s">
        <v>5</v>
      </c>
      <c r="E23" t="s">
        <v>40</v>
      </c>
      <c r="F23" t="s">
        <v>105</v>
      </c>
      <c r="G23" t="s">
        <v>106</v>
      </c>
      <c r="H23" s="6">
        <v>2725.67</v>
      </c>
      <c r="I23" s="6">
        <v>27.26</v>
      </c>
      <c r="J23" s="6">
        <v>2698.41</v>
      </c>
      <c r="K23" t="s">
        <v>63</v>
      </c>
    </row>
    <row r="24" spans="1:11" x14ac:dyDescent="0.35">
      <c r="A24" t="s">
        <v>107</v>
      </c>
      <c r="B24" t="s">
        <v>60</v>
      </c>
      <c r="C24" s="3">
        <v>46084</v>
      </c>
      <c r="D24" t="s">
        <v>6</v>
      </c>
      <c r="E24" t="s">
        <v>10</v>
      </c>
      <c r="F24" t="s">
        <v>108</v>
      </c>
      <c r="G24" t="s">
        <v>109</v>
      </c>
      <c r="H24" s="6">
        <v>5880.78</v>
      </c>
      <c r="I24" s="6">
        <v>58.81</v>
      </c>
      <c r="J24" s="6">
        <v>5821.97</v>
      </c>
      <c r="K24" t="s">
        <v>63</v>
      </c>
    </row>
    <row r="25" spans="1:11" x14ac:dyDescent="0.35">
      <c r="A25" t="s">
        <v>107</v>
      </c>
      <c r="B25" t="s">
        <v>60</v>
      </c>
      <c r="C25" s="3">
        <v>46084</v>
      </c>
      <c r="D25" t="s">
        <v>5</v>
      </c>
      <c r="E25" t="s">
        <v>14</v>
      </c>
      <c r="F25" t="s">
        <v>110</v>
      </c>
      <c r="G25" t="s">
        <v>111</v>
      </c>
      <c r="H25" s="6">
        <v>2828.44</v>
      </c>
      <c r="I25" s="6">
        <v>28.28</v>
      </c>
      <c r="J25" s="6">
        <v>2800.16</v>
      </c>
      <c r="K25" t="s">
        <v>63</v>
      </c>
    </row>
    <row r="26" spans="1:11" x14ac:dyDescent="0.35">
      <c r="A26" t="s">
        <v>107</v>
      </c>
      <c r="B26" t="s">
        <v>60</v>
      </c>
      <c r="C26" s="3">
        <v>46084</v>
      </c>
      <c r="D26" t="s">
        <v>5</v>
      </c>
      <c r="E26" t="s">
        <v>16</v>
      </c>
      <c r="F26" t="s">
        <v>112</v>
      </c>
      <c r="G26" t="s">
        <v>113</v>
      </c>
      <c r="H26" s="6">
        <v>1662.33</v>
      </c>
      <c r="I26" s="6">
        <v>16.62</v>
      </c>
      <c r="J26" s="6">
        <v>1645.71</v>
      </c>
      <c r="K26" t="s">
        <v>63</v>
      </c>
    </row>
    <row r="27" spans="1:11" x14ac:dyDescent="0.35">
      <c r="A27" t="s">
        <v>107</v>
      </c>
      <c r="B27" t="s">
        <v>60</v>
      </c>
      <c r="C27" s="3">
        <v>46084</v>
      </c>
      <c r="D27" t="s">
        <v>6</v>
      </c>
      <c r="E27" t="s">
        <v>18</v>
      </c>
      <c r="F27" t="s">
        <v>114</v>
      </c>
      <c r="G27" t="s">
        <v>115</v>
      </c>
      <c r="H27" s="6">
        <v>4939.3100000000004</v>
      </c>
      <c r="I27" s="6">
        <v>49.39</v>
      </c>
      <c r="J27" s="6">
        <v>4889.92</v>
      </c>
      <c r="K27" t="s">
        <v>63</v>
      </c>
    </row>
    <row r="28" spans="1:11" x14ac:dyDescent="0.35">
      <c r="A28" t="s">
        <v>107</v>
      </c>
      <c r="B28" t="s">
        <v>60</v>
      </c>
      <c r="C28" s="3">
        <v>46084</v>
      </c>
      <c r="D28" t="s">
        <v>6</v>
      </c>
      <c r="E28" t="s">
        <v>44</v>
      </c>
      <c r="F28" t="s">
        <v>116</v>
      </c>
      <c r="G28" t="s">
        <v>117</v>
      </c>
      <c r="H28" s="6">
        <v>8691.67</v>
      </c>
      <c r="I28" s="6">
        <v>0</v>
      </c>
      <c r="J28" s="6">
        <v>8691.67</v>
      </c>
      <c r="K28" t="s">
        <v>63</v>
      </c>
    </row>
    <row r="29" spans="1:11" x14ac:dyDescent="0.35">
      <c r="A29" t="s">
        <v>107</v>
      </c>
      <c r="B29" t="s">
        <v>60</v>
      </c>
      <c r="C29" s="3">
        <v>46084</v>
      </c>
      <c r="D29" t="s">
        <v>7</v>
      </c>
      <c r="E29" t="s">
        <v>32</v>
      </c>
      <c r="F29" t="s">
        <v>118</v>
      </c>
      <c r="G29" t="s">
        <v>119</v>
      </c>
      <c r="H29" s="6">
        <v>4870.7299999999996</v>
      </c>
      <c r="I29" s="6">
        <v>48.71</v>
      </c>
      <c r="J29" s="6">
        <v>4822.0200000000004</v>
      </c>
      <c r="K29" t="s">
        <v>63</v>
      </c>
    </row>
    <row r="30" spans="1:11" x14ac:dyDescent="0.35">
      <c r="A30" t="s">
        <v>107</v>
      </c>
      <c r="B30" t="s">
        <v>60</v>
      </c>
      <c r="C30" s="3">
        <v>46084</v>
      </c>
      <c r="D30" t="s">
        <v>8</v>
      </c>
      <c r="E30" t="s">
        <v>31</v>
      </c>
      <c r="F30" t="s">
        <v>120</v>
      </c>
      <c r="G30" t="s">
        <v>121</v>
      </c>
      <c r="H30" s="6">
        <v>6365.79</v>
      </c>
      <c r="I30" s="6">
        <v>63.66</v>
      </c>
      <c r="J30" s="6">
        <v>6302.13</v>
      </c>
      <c r="K30" t="s">
        <v>63</v>
      </c>
    </row>
    <row r="31" spans="1:11" x14ac:dyDescent="0.35">
      <c r="A31" t="s">
        <v>107</v>
      </c>
      <c r="B31" t="s">
        <v>60</v>
      </c>
      <c r="C31" s="3">
        <v>46084</v>
      </c>
      <c r="D31" t="s">
        <v>7</v>
      </c>
      <c r="E31" t="s">
        <v>45</v>
      </c>
      <c r="F31" t="s">
        <v>122</v>
      </c>
      <c r="G31" t="s">
        <v>123</v>
      </c>
      <c r="H31" s="6">
        <v>8088.65</v>
      </c>
      <c r="I31" s="6">
        <v>80.89</v>
      </c>
      <c r="J31" s="6">
        <v>8007.76</v>
      </c>
      <c r="K31" t="s">
        <v>63</v>
      </c>
    </row>
    <row r="32" spans="1:11" x14ac:dyDescent="0.35">
      <c r="A32" t="s">
        <v>107</v>
      </c>
      <c r="B32" t="s">
        <v>60</v>
      </c>
      <c r="C32" s="3">
        <v>46084</v>
      </c>
      <c r="D32" t="s">
        <v>5</v>
      </c>
      <c r="E32" t="s">
        <v>40</v>
      </c>
      <c r="F32" t="s">
        <v>124</v>
      </c>
      <c r="G32" t="s">
        <v>125</v>
      </c>
      <c r="H32" s="6">
        <v>7044.56</v>
      </c>
      <c r="I32" s="6">
        <v>0</v>
      </c>
      <c r="J32" s="6">
        <v>7044.56</v>
      </c>
      <c r="K32" t="s">
        <v>63</v>
      </c>
    </row>
    <row r="33" spans="1:11" x14ac:dyDescent="0.35">
      <c r="A33" t="s">
        <v>107</v>
      </c>
      <c r="B33" t="s">
        <v>60</v>
      </c>
      <c r="C33" s="3">
        <v>46084</v>
      </c>
      <c r="D33" t="s">
        <v>6</v>
      </c>
      <c r="E33" t="s">
        <v>26</v>
      </c>
      <c r="F33" t="s">
        <v>126</v>
      </c>
      <c r="G33" t="s">
        <v>127</v>
      </c>
      <c r="H33" s="6">
        <v>6409.34</v>
      </c>
      <c r="I33" s="6">
        <v>64.09</v>
      </c>
      <c r="J33" s="6">
        <v>6345.25</v>
      </c>
      <c r="K33" t="s">
        <v>63</v>
      </c>
    </row>
    <row r="34" spans="1:11" x14ac:dyDescent="0.35">
      <c r="A34" t="s">
        <v>128</v>
      </c>
      <c r="B34" t="s">
        <v>84</v>
      </c>
      <c r="C34" s="3">
        <v>46084</v>
      </c>
      <c r="D34" t="s">
        <v>5</v>
      </c>
      <c r="E34" t="s">
        <v>47</v>
      </c>
      <c r="F34" t="s">
        <v>129</v>
      </c>
      <c r="G34" t="s">
        <v>130</v>
      </c>
      <c r="H34" s="6">
        <v>3717.16</v>
      </c>
      <c r="I34" s="6">
        <v>0</v>
      </c>
      <c r="J34" s="6">
        <v>3717.16</v>
      </c>
      <c r="K34" t="s">
        <v>63</v>
      </c>
    </row>
    <row r="35" spans="1:11" x14ac:dyDescent="0.35">
      <c r="A35" t="s">
        <v>128</v>
      </c>
      <c r="B35" t="s">
        <v>84</v>
      </c>
      <c r="C35" s="3">
        <v>46084</v>
      </c>
      <c r="D35" t="s">
        <v>5</v>
      </c>
      <c r="E35" t="s">
        <v>47</v>
      </c>
      <c r="F35" t="s">
        <v>131</v>
      </c>
      <c r="G35" t="s">
        <v>132</v>
      </c>
      <c r="H35" s="6">
        <v>2963.73</v>
      </c>
      <c r="I35" s="6">
        <v>29.64</v>
      </c>
      <c r="J35" s="6">
        <v>2934.09</v>
      </c>
      <c r="K35" t="s">
        <v>63</v>
      </c>
    </row>
    <row r="36" spans="1:11" x14ac:dyDescent="0.35">
      <c r="A36" t="s">
        <v>128</v>
      </c>
      <c r="B36" t="s">
        <v>84</v>
      </c>
      <c r="C36" s="3">
        <v>46084</v>
      </c>
      <c r="D36" t="s">
        <v>5</v>
      </c>
      <c r="E36" t="s">
        <v>40</v>
      </c>
      <c r="F36" t="s">
        <v>89</v>
      </c>
      <c r="G36" t="s">
        <v>133</v>
      </c>
      <c r="H36" s="6">
        <v>6574.13</v>
      </c>
      <c r="I36" s="6">
        <v>65.739999999999995</v>
      </c>
      <c r="J36" s="6">
        <v>6508.39</v>
      </c>
      <c r="K36" t="s">
        <v>63</v>
      </c>
    </row>
    <row r="37" spans="1:11" x14ac:dyDescent="0.35">
      <c r="A37" t="s">
        <v>128</v>
      </c>
      <c r="B37" t="s">
        <v>84</v>
      </c>
      <c r="C37" s="3">
        <v>46084</v>
      </c>
      <c r="D37" t="s">
        <v>7</v>
      </c>
      <c r="E37" t="s">
        <v>29</v>
      </c>
      <c r="F37" t="s">
        <v>134</v>
      </c>
      <c r="G37" t="s">
        <v>135</v>
      </c>
      <c r="H37" s="6">
        <v>3224.6</v>
      </c>
      <c r="I37" s="6">
        <v>32.25</v>
      </c>
      <c r="J37" s="6">
        <v>3192.35</v>
      </c>
      <c r="K37" t="s">
        <v>63</v>
      </c>
    </row>
    <row r="38" spans="1:11" x14ac:dyDescent="0.35">
      <c r="A38" t="s">
        <v>128</v>
      </c>
      <c r="B38" t="s">
        <v>84</v>
      </c>
      <c r="C38" s="3">
        <v>46084</v>
      </c>
      <c r="D38" t="s">
        <v>5</v>
      </c>
      <c r="E38" t="s">
        <v>12</v>
      </c>
      <c r="F38" t="s">
        <v>136</v>
      </c>
      <c r="G38" t="s">
        <v>137</v>
      </c>
      <c r="H38" s="6">
        <v>1106.29</v>
      </c>
      <c r="I38" s="6">
        <v>11.06</v>
      </c>
      <c r="J38" s="6">
        <v>1095.23</v>
      </c>
      <c r="K38" t="s">
        <v>63</v>
      </c>
    </row>
    <row r="39" spans="1:11" x14ac:dyDescent="0.35">
      <c r="A39" t="s">
        <v>128</v>
      </c>
      <c r="B39" t="s">
        <v>84</v>
      </c>
      <c r="C39" s="3">
        <v>46084</v>
      </c>
      <c r="D39" t="s">
        <v>6</v>
      </c>
      <c r="E39" t="s">
        <v>11</v>
      </c>
      <c r="F39" t="s">
        <v>138</v>
      </c>
      <c r="G39" t="s">
        <v>139</v>
      </c>
      <c r="H39" s="6">
        <v>7553.18</v>
      </c>
      <c r="I39" s="6">
        <v>75.53</v>
      </c>
      <c r="J39" s="6">
        <v>7477.65</v>
      </c>
      <c r="K39" t="s">
        <v>63</v>
      </c>
    </row>
    <row r="40" spans="1:11" x14ac:dyDescent="0.35">
      <c r="A40" t="s">
        <v>128</v>
      </c>
      <c r="B40" t="s">
        <v>84</v>
      </c>
      <c r="C40" s="3">
        <v>46084</v>
      </c>
      <c r="D40" t="s">
        <v>140</v>
      </c>
      <c r="E40" t="s">
        <v>141</v>
      </c>
      <c r="F40" t="s">
        <v>142</v>
      </c>
      <c r="G40" t="s">
        <v>143</v>
      </c>
      <c r="H40" s="6">
        <v>7148.09</v>
      </c>
      <c r="I40" s="6">
        <v>71.48</v>
      </c>
      <c r="J40" s="6">
        <v>7076.61</v>
      </c>
      <c r="K40" t="s">
        <v>63</v>
      </c>
    </row>
    <row r="41" spans="1:11" x14ac:dyDescent="0.35">
      <c r="A41" t="s">
        <v>128</v>
      </c>
      <c r="B41" t="s">
        <v>84</v>
      </c>
      <c r="C41" s="3">
        <v>46084</v>
      </c>
      <c r="D41" t="s">
        <v>7</v>
      </c>
      <c r="E41" t="s">
        <v>45</v>
      </c>
      <c r="F41" t="s">
        <v>144</v>
      </c>
      <c r="G41" t="s">
        <v>145</v>
      </c>
      <c r="H41" s="6">
        <v>7684.28</v>
      </c>
      <c r="I41" s="6">
        <v>76.84</v>
      </c>
      <c r="J41" s="6">
        <v>7607.44</v>
      </c>
      <c r="K41" t="s">
        <v>63</v>
      </c>
    </row>
    <row r="42" spans="1:11" x14ac:dyDescent="0.35">
      <c r="A42" t="s">
        <v>128</v>
      </c>
      <c r="B42" t="s">
        <v>84</v>
      </c>
      <c r="C42" s="3">
        <v>46084</v>
      </c>
      <c r="D42" t="s">
        <v>7</v>
      </c>
      <c r="E42" t="s">
        <v>29</v>
      </c>
      <c r="F42" t="s">
        <v>146</v>
      </c>
      <c r="G42" t="s">
        <v>147</v>
      </c>
      <c r="H42" s="6">
        <v>6115.93</v>
      </c>
      <c r="I42" s="6">
        <v>61.16</v>
      </c>
      <c r="J42" s="6">
        <v>6054.77</v>
      </c>
      <c r="K42" t="s">
        <v>63</v>
      </c>
    </row>
    <row r="43" spans="1:11" x14ac:dyDescent="0.35">
      <c r="A43" t="s">
        <v>128</v>
      </c>
      <c r="B43" t="s">
        <v>84</v>
      </c>
      <c r="C43" s="3">
        <v>46084</v>
      </c>
      <c r="D43" t="s">
        <v>7</v>
      </c>
      <c r="E43" t="s">
        <v>35</v>
      </c>
      <c r="F43" t="s">
        <v>148</v>
      </c>
      <c r="G43" t="s">
        <v>149</v>
      </c>
      <c r="H43" s="6">
        <v>3086.18</v>
      </c>
      <c r="I43" s="6">
        <v>0</v>
      </c>
      <c r="J43" s="6">
        <v>3086.18</v>
      </c>
      <c r="K43" t="s">
        <v>63</v>
      </c>
    </row>
    <row r="44" spans="1:11" x14ac:dyDescent="0.35">
      <c r="A44" t="s">
        <v>128</v>
      </c>
      <c r="B44" t="s">
        <v>84</v>
      </c>
      <c r="C44" s="3">
        <v>46084</v>
      </c>
      <c r="D44" t="s">
        <v>6</v>
      </c>
      <c r="E44" t="s">
        <v>46</v>
      </c>
      <c r="F44" t="s">
        <v>150</v>
      </c>
      <c r="G44" t="s">
        <v>151</v>
      </c>
      <c r="H44" s="6">
        <v>5963.05</v>
      </c>
      <c r="I44" s="6">
        <v>0</v>
      </c>
      <c r="J44" s="6">
        <v>5963.05</v>
      </c>
      <c r="K44" t="s">
        <v>63</v>
      </c>
    </row>
    <row r="45" spans="1:11" x14ac:dyDescent="0.35">
      <c r="A45" t="s">
        <v>128</v>
      </c>
      <c r="B45" t="s">
        <v>84</v>
      </c>
      <c r="C45" s="3">
        <v>46084</v>
      </c>
      <c r="D45" t="s">
        <v>7</v>
      </c>
      <c r="E45" t="s">
        <v>35</v>
      </c>
      <c r="F45" t="s">
        <v>152</v>
      </c>
      <c r="G45" t="s">
        <v>153</v>
      </c>
      <c r="H45" s="6">
        <v>8496.34</v>
      </c>
      <c r="I45" s="6">
        <v>84.96</v>
      </c>
      <c r="J45" s="6">
        <v>8411.3799999999992</v>
      </c>
      <c r="K45" t="s">
        <v>63</v>
      </c>
    </row>
    <row r="46" spans="1:11" x14ac:dyDescent="0.35">
      <c r="A46" t="s">
        <v>128</v>
      </c>
      <c r="B46" t="s">
        <v>84</v>
      </c>
      <c r="C46" s="3">
        <v>46084</v>
      </c>
      <c r="D46" t="s">
        <v>7</v>
      </c>
      <c r="E46" t="s">
        <v>29</v>
      </c>
      <c r="F46" t="s">
        <v>154</v>
      </c>
      <c r="G46" t="s">
        <v>147</v>
      </c>
      <c r="H46" s="6">
        <v>681.28</v>
      </c>
      <c r="I46" s="6">
        <v>6.81</v>
      </c>
      <c r="J46" s="6">
        <v>674.47</v>
      </c>
      <c r="K46" t="s">
        <v>63</v>
      </c>
    </row>
    <row r="47" spans="1:11" x14ac:dyDescent="0.35">
      <c r="A47" t="s">
        <v>155</v>
      </c>
      <c r="B47" t="s">
        <v>60</v>
      </c>
      <c r="C47" s="3">
        <v>46085</v>
      </c>
      <c r="D47" t="s">
        <v>5</v>
      </c>
      <c r="E47" t="s">
        <v>43</v>
      </c>
      <c r="F47" t="s">
        <v>156</v>
      </c>
      <c r="G47" t="s">
        <v>157</v>
      </c>
      <c r="H47" s="6">
        <v>6387.64</v>
      </c>
      <c r="I47" s="6">
        <v>0</v>
      </c>
      <c r="J47" s="6">
        <v>6387.64</v>
      </c>
      <c r="K47" t="s">
        <v>63</v>
      </c>
    </row>
    <row r="48" spans="1:11" x14ac:dyDescent="0.35">
      <c r="A48" t="s">
        <v>155</v>
      </c>
      <c r="B48" t="s">
        <v>60</v>
      </c>
      <c r="C48" s="3">
        <v>46085</v>
      </c>
      <c r="D48" t="s">
        <v>5</v>
      </c>
      <c r="E48" t="s">
        <v>43</v>
      </c>
      <c r="F48" t="s">
        <v>158</v>
      </c>
      <c r="G48" t="s">
        <v>159</v>
      </c>
      <c r="H48" s="6">
        <v>5518.49</v>
      </c>
      <c r="I48" s="6">
        <v>0</v>
      </c>
      <c r="J48" s="6">
        <v>5518.49</v>
      </c>
      <c r="K48" t="s">
        <v>63</v>
      </c>
    </row>
    <row r="49" spans="1:11" x14ac:dyDescent="0.35">
      <c r="A49" t="s">
        <v>155</v>
      </c>
      <c r="B49" t="s">
        <v>60</v>
      </c>
      <c r="C49" s="3">
        <v>46085</v>
      </c>
      <c r="D49" t="s">
        <v>5</v>
      </c>
      <c r="E49" t="s">
        <v>24</v>
      </c>
      <c r="F49" t="s">
        <v>160</v>
      </c>
      <c r="G49" t="s">
        <v>161</v>
      </c>
      <c r="H49" s="6">
        <v>3445.3</v>
      </c>
      <c r="I49" s="6">
        <v>34.450000000000003</v>
      </c>
      <c r="J49" s="6">
        <v>3410.85</v>
      </c>
      <c r="K49" t="s">
        <v>63</v>
      </c>
    </row>
    <row r="50" spans="1:11" x14ac:dyDescent="0.35">
      <c r="A50" t="s">
        <v>155</v>
      </c>
      <c r="B50" t="s">
        <v>60</v>
      </c>
      <c r="C50" s="3">
        <v>46085</v>
      </c>
      <c r="D50" t="s">
        <v>6</v>
      </c>
      <c r="E50" t="s">
        <v>44</v>
      </c>
      <c r="F50" t="s">
        <v>162</v>
      </c>
      <c r="G50" t="s">
        <v>163</v>
      </c>
      <c r="H50" s="6">
        <v>4603.88</v>
      </c>
      <c r="I50" s="6">
        <v>46.04</v>
      </c>
      <c r="J50" s="6">
        <v>4557.84</v>
      </c>
      <c r="K50" t="s">
        <v>63</v>
      </c>
    </row>
    <row r="51" spans="1:11" x14ac:dyDescent="0.35">
      <c r="A51" t="s">
        <v>155</v>
      </c>
      <c r="B51" t="s">
        <v>60</v>
      </c>
      <c r="C51" s="3">
        <v>46085</v>
      </c>
      <c r="D51" t="s">
        <v>5</v>
      </c>
      <c r="E51" t="s">
        <v>9</v>
      </c>
      <c r="F51" t="s">
        <v>164</v>
      </c>
      <c r="G51" t="s">
        <v>165</v>
      </c>
      <c r="H51" s="6">
        <v>6476.13</v>
      </c>
      <c r="I51" s="6">
        <v>0</v>
      </c>
      <c r="J51" s="6">
        <v>6476.13</v>
      </c>
      <c r="K51" t="s">
        <v>63</v>
      </c>
    </row>
    <row r="52" spans="1:11" x14ac:dyDescent="0.35">
      <c r="A52" t="s">
        <v>155</v>
      </c>
      <c r="B52" t="s">
        <v>60</v>
      </c>
      <c r="C52" s="3">
        <v>46085</v>
      </c>
      <c r="D52" t="s">
        <v>5</v>
      </c>
      <c r="E52" t="s">
        <v>36</v>
      </c>
      <c r="F52" t="s">
        <v>166</v>
      </c>
      <c r="G52" t="s">
        <v>167</v>
      </c>
      <c r="H52" s="6">
        <v>4484.22</v>
      </c>
      <c r="I52" s="6">
        <v>44.84</v>
      </c>
      <c r="J52" s="6">
        <v>4439.38</v>
      </c>
      <c r="K52" t="s">
        <v>63</v>
      </c>
    </row>
    <row r="53" spans="1:11" x14ac:dyDescent="0.35">
      <c r="A53" t="s">
        <v>155</v>
      </c>
      <c r="B53" t="s">
        <v>60</v>
      </c>
      <c r="C53" s="3">
        <v>46085</v>
      </c>
      <c r="D53" t="s">
        <v>5</v>
      </c>
      <c r="E53" t="s">
        <v>24</v>
      </c>
      <c r="F53" t="s">
        <v>168</v>
      </c>
      <c r="G53" t="s">
        <v>169</v>
      </c>
      <c r="H53" s="6">
        <v>405.55</v>
      </c>
      <c r="I53" s="6">
        <v>4.0599999999999996</v>
      </c>
      <c r="J53" s="6">
        <v>401.49</v>
      </c>
      <c r="K53" t="s">
        <v>63</v>
      </c>
    </row>
    <row r="54" spans="1:11" x14ac:dyDescent="0.35">
      <c r="A54" t="s">
        <v>155</v>
      </c>
      <c r="B54" t="s">
        <v>60</v>
      </c>
      <c r="C54" s="3">
        <v>46085</v>
      </c>
      <c r="D54" t="s">
        <v>5</v>
      </c>
      <c r="E54" t="s">
        <v>47</v>
      </c>
      <c r="F54" t="s">
        <v>170</v>
      </c>
      <c r="G54" t="s">
        <v>130</v>
      </c>
      <c r="H54" s="6">
        <v>1359.89</v>
      </c>
      <c r="I54" s="6">
        <v>13.6</v>
      </c>
      <c r="J54" s="6">
        <v>1346.29</v>
      </c>
      <c r="K54" t="s">
        <v>63</v>
      </c>
    </row>
    <row r="55" spans="1:11" x14ac:dyDescent="0.35">
      <c r="A55" t="s">
        <v>155</v>
      </c>
      <c r="B55" t="s">
        <v>60</v>
      </c>
      <c r="C55" s="3">
        <v>46085</v>
      </c>
      <c r="D55" t="s">
        <v>5</v>
      </c>
      <c r="E55" t="s">
        <v>19</v>
      </c>
      <c r="F55" t="s">
        <v>171</v>
      </c>
      <c r="G55" t="s">
        <v>172</v>
      </c>
      <c r="H55" s="6">
        <v>1381.82</v>
      </c>
      <c r="I55" s="6">
        <v>13.82</v>
      </c>
      <c r="J55" s="6">
        <v>1368</v>
      </c>
      <c r="K55" t="s">
        <v>63</v>
      </c>
    </row>
    <row r="56" spans="1:11" x14ac:dyDescent="0.35">
      <c r="A56" t="s">
        <v>173</v>
      </c>
      <c r="B56" t="s">
        <v>84</v>
      </c>
      <c r="C56" s="3">
        <v>46085</v>
      </c>
      <c r="D56" t="s">
        <v>6</v>
      </c>
      <c r="E56" t="s">
        <v>46</v>
      </c>
      <c r="F56" t="s">
        <v>174</v>
      </c>
      <c r="G56" t="s">
        <v>175</v>
      </c>
      <c r="H56" s="6">
        <v>8640.9599999999991</v>
      </c>
      <c r="I56" s="6">
        <v>86.41</v>
      </c>
      <c r="J56" s="6">
        <v>8554.5499999999993</v>
      </c>
      <c r="K56" t="s">
        <v>63</v>
      </c>
    </row>
    <row r="57" spans="1:11" x14ac:dyDescent="0.35">
      <c r="A57" t="s">
        <v>173</v>
      </c>
      <c r="B57" t="s">
        <v>84</v>
      </c>
      <c r="C57" s="3">
        <v>46085</v>
      </c>
      <c r="D57" t="s">
        <v>8</v>
      </c>
      <c r="E57" t="s">
        <v>39</v>
      </c>
      <c r="F57" t="s">
        <v>176</v>
      </c>
      <c r="G57" t="s">
        <v>177</v>
      </c>
      <c r="H57" s="6">
        <v>1819.14</v>
      </c>
      <c r="I57" s="6">
        <v>0</v>
      </c>
      <c r="J57" s="6">
        <v>1819.14</v>
      </c>
      <c r="K57" t="s">
        <v>63</v>
      </c>
    </row>
    <row r="58" spans="1:11" x14ac:dyDescent="0.35">
      <c r="A58" t="s">
        <v>173</v>
      </c>
      <c r="B58" t="s">
        <v>84</v>
      </c>
      <c r="C58" s="3">
        <v>46085</v>
      </c>
      <c r="D58" t="s">
        <v>6</v>
      </c>
      <c r="E58" t="s">
        <v>11</v>
      </c>
      <c r="F58" t="s">
        <v>178</v>
      </c>
      <c r="G58" t="s">
        <v>179</v>
      </c>
      <c r="H58" s="6">
        <v>311.38</v>
      </c>
      <c r="I58" s="6">
        <v>0</v>
      </c>
      <c r="J58" s="6">
        <v>311.38</v>
      </c>
      <c r="K58" t="s">
        <v>63</v>
      </c>
    </row>
    <row r="59" spans="1:11" x14ac:dyDescent="0.35">
      <c r="A59" t="s">
        <v>173</v>
      </c>
      <c r="B59" t="s">
        <v>84</v>
      </c>
      <c r="C59" s="3">
        <v>46085</v>
      </c>
      <c r="D59" t="s">
        <v>6</v>
      </c>
      <c r="E59" t="s">
        <v>48</v>
      </c>
      <c r="F59" t="s">
        <v>180</v>
      </c>
      <c r="G59" t="s">
        <v>181</v>
      </c>
      <c r="H59" s="6">
        <v>3001.95</v>
      </c>
      <c r="I59" s="6">
        <v>30.02</v>
      </c>
      <c r="J59" s="6">
        <v>2971.93</v>
      </c>
      <c r="K59" t="s">
        <v>63</v>
      </c>
    </row>
    <row r="60" spans="1:11" x14ac:dyDescent="0.35">
      <c r="A60" t="s">
        <v>173</v>
      </c>
      <c r="B60" t="s">
        <v>84</v>
      </c>
      <c r="C60" s="3">
        <v>46085</v>
      </c>
      <c r="D60" t="s">
        <v>7</v>
      </c>
      <c r="E60" t="s">
        <v>17</v>
      </c>
      <c r="F60" t="s">
        <v>182</v>
      </c>
      <c r="G60" t="s">
        <v>183</v>
      </c>
      <c r="H60" s="6">
        <v>7093.73</v>
      </c>
      <c r="I60" s="6">
        <v>70.94</v>
      </c>
      <c r="J60" s="6">
        <v>7022.79</v>
      </c>
      <c r="K60" t="s">
        <v>63</v>
      </c>
    </row>
    <row r="61" spans="1:11" x14ac:dyDescent="0.35">
      <c r="A61" t="s">
        <v>173</v>
      </c>
      <c r="B61" t="s">
        <v>84</v>
      </c>
      <c r="C61" s="3">
        <v>46085</v>
      </c>
      <c r="D61" t="s">
        <v>6</v>
      </c>
      <c r="E61" t="s">
        <v>44</v>
      </c>
      <c r="F61" t="s">
        <v>184</v>
      </c>
      <c r="G61" t="s">
        <v>185</v>
      </c>
      <c r="H61" s="6">
        <v>8585.64</v>
      </c>
      <c r="I61" s="6">
        <v>0</v>
      </c>
      <c r="J61" s="6">
        <v>8585.64</v>
      </c>
      <c r="K61" t="s">
        <v>63</v>
      </c>
    </row>
    <row r="62" spans="1:11" x14ac:dyDescent="0.35">
      <c r="A62" t="s">
        <v>173</v>
      </c>
      <c r="B62" t="s">
        <v>84</v>
      </c>
      <c r="C62" s="3">
        <v>46085</v>
      </c>
      <c r="D62" t="s">
        <v>7</v>
      </c>
      <c r="E62" t="s">
        <v>34</v>
      </c>
      <c r="F62" t="s">
        <v>186</v>
      </c>
      <c r="G62" t="s">
        <v>104</v>
      </c>
      <c r="H62" s="6">
        <v>1825.3</v>
      </c>
      <c r="I62" s="6">
        <v>18.25</v>
      </c>
      <c r="J62" s="6">
        <v>1807.05</v>
      </c>
      <c r="K62" t="s">
        <v>63</v>
      </c>
    </row>
    <row r="63" spans="1:11" x14ac:dyDescent="0.35">
      <c r="A63" t="s">
        <v>173</v>
      </c>
      <c r="B63" t="s">
        <v>84</v>
      </c>
      <c r="C63" s="3">
        <v>46085</v>
      </c>
      <c r="D63" t="s">
        <v>140</v>
      </c>
      <c r="E63" t="s">
        <v>187</v>
      </c>
      <c r="F63" t="s">
        <v>188</v>
      </c>
      <c r="G63" t="s">
        <v>189</v>
      </c>
      <c r="H63" s="6">
        <v>7997.62</v>
      </c>
      <c r="I63" s="6">
        <v>79.98</v>
      </c>
      <c r="J63" s="6">
        <v>7917.64</v>
      </c>
      <c r="K63" t="s">
        <v>63</v>
      </c>
    </row>
    <row r="64" spans="1:11" x14ac:dyDescent="0.35">
      <c r="A64" t="s">
        <v>173</v>
      </c>
      <c r="B64" t="s">
        <v>84</v>
      </c>
      <c r="C64" s="3">
        <v>46085</v>
      </c>
      <c r="D64" t="s">
        <v>5</v>
      </c>
      <c r="E64" t="s">
        <v>38</v>
      </c>
      <c r="F64" t="s">
        <v>190</v>
      </c>
      <c r="G64" t="s">
        <v>191</v>
      </c>
      <c r="H64" s="6">
        <v>8386.9500000000007</v>
      </c>
      <c r="I64" s="6">
        <v>83.87</v>
      </c>
      <c r="J64" s="6">
        <v>8303.08</v>
      </c>
      <c r="K64" t="s">
        <v>63</v>
      </c>
    </row>
    <row r="65" spans="1:11" x14ac:dyDescent="0.35">
      <c r="A65" t="s">
        <v>173</v>
      </c>
      <c r="B65" t="s">
        <v>84</v>
      </c>
      <c r="C65" s="3">
        <v>46085</v>
      </c>
      <c r="D65" t="s">
        <v>8</v>
      </c>
      <c r="E65" t="s">
        <v>31</v>
      </c>
      <c r="F65" t="s">
        <v>192</v>
      </c>
      <c r="G65" t="s">
        <v>93</v>
      </c>
      <c r="H65" s="6">
        <v>8525.7000000000007</v>
      </c>
      <c r="I65" s="6">
        <v>85.26</v>
      </c>
      <c r="J65" s="6">
        <v>8440.44</v>
      </c>
      <c r="K65" t="s">
        <v>63</v>
      </c>
    </row>
    <row r="66" spans="1:11" x14ac:dyDescent="0.35">
      <c r="A66" t="s">
        <v>193</v>
      </c>
      <c r="B66" t="s">
        <v>60</v>
      </c>
      <c r="C66" s="3">
        <v>46086</v>
      </c>
      <c r="D66" t="s">
        <v>5</v>
      </c>
      <c r="E66" t="s">
        <v>28</v>
      </c>
      <c r="F66" t="s">
        <v>194</v>
      </c>
      <c r="G66" t="s">
        <v>195</v>
      </c>
      <c r="H66" s="6">
        <v>3698.11</v>
      </c>
      <c r="I66" s="6">
        <v>0</v>
      </c>
      <c r="J66" s="6">
        <v>3698.11</v>
      </c>
      <c r="K66" t="s">
        <v>63</v>
      </c>
    </row>
    <row r="67" spans="1:11" x14ac:dyDescent="0.35">
      <c r="A67" t="s">
        <v>193</v>
      </c>
      <c r="B67" t="s">
        <v>60</v>
      </c>
      <c r="C67" s="3">
        <v>46086</v>
      </c>
      <c r="D67" t="s">
        <v>5</v>
      </c>
      <c r="E67" t="s">
        <v>24</v>
      </c>
      <c r="F67" t="s">
        <v>196</v>
      </c>
      <c r="G67" t="s">
        <v>197</v>
      </c>
      <c r="H67" s="6">
        <v>214.63</v>
      </c>
      <c r="I67" s="6">
        <v>2.15</v>
      </c>
      <c r="J67" s="6">
        <v>212.48</v>
      </c>
      <c r="K67" t="s">
        <v>63</v>
      </c>
    </row>
    <row r="68" spans="1:11" x14ac:dyDescent="0.35">
      <c r="A68" t="s">
        <v>193</v>
      </c>
      <c r="B68" t="s">
        <v>60</v>
      </c>
      <c r="C68" s="3">
        <v>46086</v>
      </c>
      <c r="D68" t="s">
        <v>5</v>
      </c>
      <c r="E68" t="s">
        <v>25</v>
      </c>
      <c r="F68" t="s">
        <v>198</v>
      </c>
      <c r="G68" t="s">
        <v>199</v>
      </c>
      <c r="H68" s="6">
        <v>1705</v>
      </c>
      <c r="I68" s="6">
        <v>17.05</v>
      </c>
      <c r="J68" s="6">
        <v>1687.95</v>
      </c>
      <c r="K68" t="s">
        <v>63</v>
      </c>
    </row>
    <row r="69" spans="1:11" x14ac:dyDescent="0.35">
      <c r="A69" t="s">
        <v>193</v>
      </c>
      <c r="B69" t="s">
        <v>60</v>
      </c>
      <c r="C69" s="3">
        <v>46086</v>
      </c>
      <c r="D69" t="s">
        <v>5</v>
      </c>
      <c r="E69" t="s">
        <v>43</v>
      </c>
      <c r="F69" t="s">
        <v>200</v>
      </c>
      <c r="G69" t="s">
        <v>201</v>
      </c>
      <c r="H69" s="6">
        <v>940.96</v>
      </c>
      <c r="I69" s="6">
        <v>9.41</v>
      </c>
      <c r="J69" s="6">
        <v>931.55</v>
      </c>
      <c r="K69" t="s">
        <v>63</v>
      </c>
    </row>
    <row r="70" spans="1:11" x14ac:dyDescent="0.35">
      <c r="A70" t="s">
        <v>193</v>
      </c>
      <c r="B70" t="s">
        <v>60</v>
      </c>
      <c r="C70" s="3">
        <v>46086</v>
      </c>
      <c r="D70" t="s">
        <v>6</v>
      </c>
      <c r="E70" t="s">
        <v>44</v>
      </c>
      <c r="F70" t="s">
        <v>202</v>
      </c>
      <c r="G70" t="s">
        <v>203</v>
      </c>
      <c r="H70" s="6">
        <v>4292.7700000000004</v>
      </c>
      <c r="I70" s="6">
        <v>0</v>
      </c>
      <c r="J70" s="6">
        <v>4292.7700000000004</v>
      </c>
      <c r="K70" t="s">
        <v>63</v>
      </c>
    </row>
    <row r="71" spans="1:11" x14ac:dyDescent="0.35">
      <c r="A71" t="s">
        <v>193</v>
      </c>
      <c r="B71" t="s">
        <v>60</v>
      </c>
      <c r="C71" s="3">
        <v>46086</v>
      </c>
      <c r="D71" t="s">
        <v>8</v>
      </c>
      <c r="E71" t="s">
        <v>30</v>
      </c>
      <c r="F71" t="s">
        <v>204</v>
      </c>
      <c r="G71" t="s">
        <v>205</v>
      </c>
      <c r="H71" s="6">
        <v>8491.99</v>
      </c>
      <c r="I71" s="6">
        <v>0</v>
      </c>
      <c r="J71" s="6">
        <v>8491.99</v>
      </c>
      <c r="K71" t="s">
        <v>63</v>
      </c>
    </row>
    <row r="72" spans="1:11" x14ac:dyDescent="0.35">
      <c r="A72" t="s">
        <v>193</v>
      </c>
      <c r="B72" t="s">
        <v>60</v>
      </c>
      <c r="C72" s="3">
        <v>46086</v>
      </c>
      <c r="D72" t="s">
        <v>5</v>
      </c>
      <c r="E72" t="s">
        <v>16</v>
      </c>
      <c r="F72" t="s">
        <v>206</v>
      </c>
      <c r="G72" t="s">
        <v>207</v>
      </c>
      <c r="H72" s="6">
        <v>2256.1999999999998</v>
      </c>
      <c r="I72" s="6">
        <v>22.56</v>
      </c>
      <c r="J72" s="6">
        <v>2233.64</v>
      </c>
      <c r="K72" t="s">
        <v>63</v>
      </c>
    </row>
    <row r="73" spans="1:11" x14ac:dyDescent="0.35">
      <c r="A73" t="s">
        <v>193</v>
      </c>
      <c r="B73" t="s">
        <v>60</v>
      </c>
      <c r="C73" s="3">
        <v>46086</v>
      </c>
      <c r="D73" t="s">
        <v>5</v>
      </c>
      <c r="E73" t="s">
        <v>20</v>
      </c>
      <c r="F73" t="s">
        <v>208</v>
      </c>
      <c r="G73" t="s">
        <v>209</v>
      </c>
      <c r="H73" s="6">
        <v>2084.19</v>
      </c>
      <c r="I73" s="6">
        <v>20.84</v>
      </c>
      <c r="J73" s="6">
        <v>2063.35</v>
      </c>
      <c r="K73" t="s">
        <v>63</v>
      </c>
    </row>
    <row r="74" spans="1:11" x14ac:dyDescent="0.35">
      <c r="A74" t="s">
        <v>193</v>
      </c>
      <c r="B74" t="s">
        <v>60</v>
      </c>
      <c r="C74" s="3">
        <v>46086</v>
      </c>
      <c r="D74" t="s">
        <v>8</v>
      </c>
      <c r="E74" t="s">
        <v>30</v>
      </c>
      <c r="F74" t="s">
        <v>210</v>
      </c>
      <c r="G74" t="s">
        <v>205</v>
      </c>
      <c r="H74" s="6">
        <v>5729.75</v>
      </c>
      <c r="I74" s="6">
        <v>0</v>
      </c>
      <c r="J74" s="6">
        <v>5719.75</v>
      </c>
      <c r="K74" t="s">
        <v>211</v>
      </c>
    </row>
    <row r="75" spans="1:11" x14ac:dyDescent="0.35">
      <c r="A75" t="s">
        <v>212</v>
      </c>
      <c r="B75" t="s">
        <v>84</v>
      </c>
      <c r="C75" s="3">
        <v>46086</v>
      </c>
      <c r="D75" t="s">
        <v>8</v>
      </c>
      <c r="E75" t="s">
        <v>30</v>
      </c>
      <c r="F75" t="s">
        <v>213</v>
      </c>
      <c r="G75" t="s">
        <v>214</v>
      </c>
      <c r="H75" s="6">
        <v>2677.29</v>
      </c>
      <c r="I75" s="6">
        <v>26.77</v>
      </c>
      <c r="J75" s="6">
        <v>2650.52</v>
      </c>
      <c r="K75" t="s">
        <v>63</v>
      </c>
    </row>
    <row r="76" spans="1:11" x14ac:dyDescent="0.35">
      <c r="A76" t="s">
        <v>212</v>
      </c>
      <c r="B76" t="s">
        <v>84</v>
      </c>
      <c r="C76" s="3">
        <v>46086</v>
      </c>
      <c r="D76" t="s">
        <v>6</v>
      </c>
      <c r="E76" t="s">
        <v>10</v>
      </c>
      <c r="F76" t="s">
        <v>215</v>
      </c>
      <c r="G76" t="s">
        <v>216</v>
      </c>
      <c r="H76" s="6">
        <v>6680.41</v>
      </c>
      <c r="I76" s="6">
        <v>66.8</v>
      </c>
      <c r="J76" s="6">
        <v>6613.61</v>
      </c>
      <c r="K76" t="s">
        <v>63</v>
      </c>
    </row>
    <row r="77" spans="1:11" x14ac:dyDescent="0.35">
      <c r="A77" t="s">
        <v>212</v>
      </c>
      <c r="B77" t="s">
        <v>84</v>
      </c>
      <c r="C77" s="3">
        <v>46086</v>
      </c>
      <c r="D77" t="s">
        <v>5</v>
      </c>
      <c r="E77" t="s">
        <v>36</v>
      </c>
      <c r="F77" t="s">
        <v>217</v>
      </c>
      <c r="G77" t="s">
        <v>218</v>
      </c>
      <c r="H77" s="6">
        <v>7449.32</v>
      </c>
      <c r="I77" s="6">
        <v>74.489999999999995</v>
      </c>
      <c r="J77" s="6">
        <v>7374.83</v>
      </c>
      <c r="K77" t="s">
        <v>63</v>
      </c>
    </row>
    <row r="78" spans="1:11" x14ac:dyDescent="0.35">
      <c r="A78" t="s">
        <v>212</v>
      </c>
      <c r="B78" t="s">
        <v>84</v>
      </c>
      <c r="C78" s="3">
        <v>46086</v>
      </c>
      <c r="D78" t="s">
        <v>5</v>
      </c>
      <c r="E78" t="s">
        <v>24</v>
      </c>
      <c r="F78" t="s">
        <v>219</v>
      </c>
      <c r="G78" t="s">
        <v>220</v>
      </c>
      <c r="H78" s="6">
        <v>5605.31</v>
      </c>
      <c r="I78" s="6">
        <v>56.05</v>
      </c>
      <c r="J78" s="6">
        <v>5549.26</v>
      </c>
      <c r="K78" t="s">
        <v>63</v>
      </c>
    </row>
    <row r="79" spans="1:11" x14ac:dyDescent="0.35">
      <c r="A79" t="s">
        <v>212</v>
      </c>
      <c r="B79" t="s">
        <v>84</v>
      </c>
      <c r="C79" s="3">
        <v>46086</v>
      </c>
      <c r="D79" t="s">
        <v>5</v>
      </c>
      <c r="E79" t="s">
        <v>16</v>
      </c>
      <c r="F79" t="s">
        <v>221</v>
      </c>
      <c r="G79" t="s">
        <v>222</v>
      </c>
      <c r="H79" s="6">
        <v>242.8</v>
      </c>
      <c r="I79" s="6">
        <v>0</v>
      </c>
      <c r="J79" s="6">
        <v>242.8</v>
      </c>
      <c r="K79" t="s">
        <v>63</v>
      </c>
    </row>
    <row r="80" spans="1:11" x14ac:dyDescent="0.35">
      <c r="A80" t="s">
        <v>212</v>
      </c>
      <c r="B80" t="s">
        <v>84</v>
      </c>
      <c r="C80" s="3">
        <v>46086</v>
      </c>
      <c r="D80" t="s">
        <v>6</v>
      </c>
      <c r="E80" t="s">
        <v>26</v>
      </c>
      <c r="F80" t="s">
        <v>223</v>
      </c>
      <c r="G80" t="s">
        <v>224</v>
      </c>
      <c r="H80" s="6">
        <v>2139.91</v>
      </c>
      <c r="I80" s="6">
        <v>21.4</v>
      </c>
      <c r="J80" s="6">
        <v>2118.5100000000002</v>
      </c>
      <c r="K80" t="s">
        <v>63</v>
      </c>
    </row>
    <row r="81" spans="1:11" x14ac:dyDescent="0.35">
      <c r="A81" t="s">
        <v>212</v>
      </c>
      <c r="B81" t="s">
        <v>84</v>
      </c>
      <c r="C81" s="3">
        <v>46086</v>
      </c>
      <c r="D81" t="s">
        <v>7</v>
      </c>
      <c r="E81" t="s">
        <v>45</v>
      </c>
      <c r="F81" t="s">
        <v>225</v>
      </c>
      <c r="G81" t="s">
        <v>226</v>
      </c>
      <c r="H81" s="6">
        <v>2773.53</v>
      </c>
      <c r="I81" s="6">
        <v>27.74</v>
      </c>
      <c r="J81" s="6">
        <v>2745.79</v>
      </c>
      <c r="K81" t="s">
        <v>63</v>
      </c>
    </row>
    <row r="82" spans="1:11" x14ac:dyDescent="0.35">
      <c r="A82" t="s">
        <v>212</v>
      </c>
      <c r="B82" t="s">
        <v>84</v>
      </c>
      <c r="C82" s="3">
        <v>46086</v>
      </c>
      <c r="D82" t="s">
        <v>8</v>
      </c>
      <c r="E82" t="s">
        <v>39</v>
      </c>
      <c r="F82" t="s">
        <v>227</v>
      </c>
      <c r="G82" t="s">
        <v>177</v>
      </c>
      <c r="H82" s="6">
        <v>7315.93</v>
      </c>
      <c r="I82" s="6">
        <v>73.16</v>
      </c>
      <c r="J82" s="6">
        <v>7242.77</v>
      </c>
      <c r="K82" t="s">
        <v>63</v>
      </c>
    </row>
    <row r="83" spans="1:11" x14ac:dyDescent="0.35">
      <c r="A83" t="s">
        <v>212</v>
      </c>
      <c r="B83" t="s">
        <v>84</v>
      </c>
      <c r="C83" s="3">
        <v>46086</v>
      </c>
      <c r="D83" t="s">
        <v>7</v>
      </c>
      <c r="E83" t="s">
        <v>32</v>
      </c>
      <c r="F83" t="s">
        <v>228</v>
      </c>
      <c r="G83" t="s">
        <v>119</v>
      </c>
      <c r="H83" s="6">
        <v>4082.14</v>
      </c>
      <c r="I83" s="6">
        <v>40.82</v>
      </c>
      <c r="J83" s="6">
        <v>4041.32</v>
      </c>
      <c r="K83" t="s">
        <v>63</v>
      </c>
    </row>
    <row r="84" spans="1:11" x14ac:dyDescent="0.35">
      <c r="A84" t="s">
        <v>212</v>
      </c>
      <c r="B84" t="s">
        <v>84</v>
      </c>
      <c r="C84" s="3">
        <v>46086</v>
      </c>
      <c r="D84" t="s">
        <v>6</v>
      </c>
      <c r="E84" t="s">
        <v>42</v>
      </c>
      <c r="F84" t="s">
        <v>229</v>
      </c>
      <c r="G84" t="s">
        <v>230</v>
      </c>
      <c r="H84" s="6">
        <v>8597.35</v>
      </c>
      <c r="I84" s="6">
        <v>85.97</v>
      </c>
      <c r="J84" s="6">
        <v>8511.3799999999992</v>
      </c>
      <c r="K84" t="s">
        <v>63</v>
      </c>
    </row>
    <row r="85" spans="1:11" x14ac:dyDescent="0.35">
      <c r="A85" t="s">
        <v>231</v>
      </c>
      <c r="B85" t="s">
        <v>60</v>
      </c>
      <c r="C85" s="3">
        <v>46087</v>
      </c>
      <c r="D85" t="s">
        <v>5</v>
      </c>
      <c r="E85" t="s">
        <v>9</v>
      </c>
      <c r="F85" t="s">
        <v>232</v>
      </c>
      <c r="G85" t="s">
        <v>233</v>
      </c>
      <c r="H85" s="6">
        <v>4229.22</v>
      </c>
      <c r="I85" s="6">
        <v>42.29</v>
      </c>
      <c r="J85" s="6">
        <v>4186.93</v>
      </c>
      <c r="K85" t="s">
        <v>63</v>
      </c>
    </row>
    <row r="86" spans="1:11" x14ac:dyDescent="0.35">
      <c r="A86" t="s">
        <v>231</v>
      </c>
      <c r="B86" t="s">
        <v>60</v>
      </c>
      <c r="C86" s="3">
        <v>46087</v>
      </c>
      <c r="D86" t="s">
        <v>7</v>
      </c>
      <c r="E86" t="s">
        <v>35</v>
      </c>
      <c r="F86" t="s">
        <v>234</v>
      </c>
      <c r="G86" t="s">
        <v>235</v>
      </c>
      <c r="H86" s="6">
        <v>3379.32</v>
      </c>
      <c r="I86" s="6">
        <v>33.79</v>
      </c>
      <c r="J86" s="6">
        <v>3345.53</v>
      </c>
      <c r="K86" t="s">
        <v>63</v>
      </c>
    </row>
    <row r="87" spans="1:11" x14ac:dyDescent="0.35">
      <c r="A87" t="s">
        <v>231</v>
      </c>
      <c r="B87" t="s">
        <v>60</v>
      </c>
      <c r="C87" s="3">
        <v>46087</v>
      </c>
      <c r="D87" t="s">
        <v>8</v>
      </c>
      <c r="E87" t="s">
        <v>31</v>
      </c>
      <c r="F87" t="s">
        <v>198</v>
      </c>
      <c r="G87" t="s">
        <v>236</v>
      </c>
      <c r="H87" s="6">
        <v>2345.4499999999998</v>
      </c>
      <c r="I87" s="6">
        <v>0</v>
      </c>
      <c r="J87" s="6">
        <v>2345.4499999999998</v>
      </c>
      <c r="K87" t="s">
        <v>63</v>
      </c>
    </row>
    <row r="88" spans="1:11" x14ac:dyDescent="0.35">
      <c r="A88" t="s">
        <v>231</v>
      </c>
      <c r="B88" t="s">
        <v>60</v>
      </c>
      <c r="C88" s="3">
        <v>46087</v>
      </c>
      <c r="D88" t="s">
        <v>6</v>
      </c>
      <c r="E88" t="s">
        <v>26</v>
      </c>
      <c r="F88" t="s">
        <v>237</v>
      </c>
      <c r="G88" t="s">
        <v>238</v>
      </c>
      <c r="H88" s="6">
        <v>4335.01</v>
      </c>
      <c r="I88" s="6">
        <v>43.35</v>
      </c>
      <c r="J88" s="6">
        <v>4291.66</v>
      </c>
      <c r="K88" t="s">
        <v>63</v>
      </c>
    </row>
    <row r="89" spans="1:11" x14ac:dyDescent="0.35">
      <c r="A89" t="s">
        <v>231</v>
      </c>
      <c r="B89" t="s">
        <v>60</v>
      </c>
      <c r="C89" s="3">
        <v>46087</v>
      </c>
      <c r="D89" t="s">
        <v>7</v>
      </c>
      <c r="E89" t="s">
        <v>17</v>
      </c>
      <c r="F89" t="s">
        <v>239</v>
      </c>
      <c r="G89" t="s">
        <v>240</v>
      </c>
      <c r="H89" s="6">
        <v>5473.18</v>
      </c>
      <c r="I89" s="6">
        <v>54.73</v>
      </c>
      <c r="J89" s="6">
        <v>5418.45</v>
      </c>
      <c r="K89" t="s">
        <v>63</v>
      </c>
    </row>
    <row r="90" spans="1:11" x14ac:dyDescent="0.35">
      <c r="A90" t="s">
        <v>231</v>
      </c>
      <c r="B90" t="s">
        <v>60</v>
      </c>
      <c r="C90" s="3">
        <v>46087</v>
      </c>
      <c r="D90" t="s">
        <v>140</v>
      </c>
      <c r="E90" t="s">
        <v>187</v>
      </c>
      <c r="F90" t="s">
        <v>241</v>
      </c>
      <c r="G90" t="s">
        <v>242</v>
      </c>
      <c r="H90" s="6">
        <v>3569.15</v>
      </c>
      <c r="I90" s="6">
        <v>35.69</v>
      </c>
      <c r="J90" s="6">
        <v>3533.46</v>
      </c>
      <c r="K90" t="s">
        <v>63</v>
      </c>
    </row>
    <row r="91" spans="1:11" x14ac:dyDescent="0.35">
      <c r="A91" t="s">
        <v>231</v>
      </c>
      <c r="B91" t="s">
        <v>60</v>
      </c>
      <c r="C91" s="3">
        <v>46087</v>
      </c>
      <c r="D91" t="s">
        <v>6</v>
      </c>
      <c r="E91" t="s">
        <v>42</v>
      </c>
      <c r="F91" t="s">
        <v>243</v>
      </c>
      <c r="G91" t="s">
        <v>244</v>
      </c>
      <c r="H91" s="6">
        <v>4785.2</v>
      </c>
      <c r="I91" s="6">
        <v>47.85</v>
      </c>
      <c r="J91" s="6">
        <v>4737.3500000000004</v>
      </c>
      <c r="K91" t="s">
        <v>63</v>
      </c>
    </row>
    <row r="92" spans="1:11" x14ac:dyDescent="0.35">
      <c r="A92" t="s">
        <v>231</v>
      </c>
      <c r="B92" t="s">
        <v>60</v>
      </c>
      <c r="C92" s="3">
        <v>46087</v>
      </c>
      <c r="D92" t="s">
        <v>6</v>
      </c>
      <c r="E92" t="s">
        <v>11</v>
      </c>
      <c r="F92" t="s">
        <v>245</v>
      </c>
      <c r="G92" t="s">
        <v>246</v>
      </c>
      <c r="H92" s="6">
        <v>1990.19</v>
      </c>
      <c r="I92" s="6">
        <v>19.899999999999999</v>
      </c>
      <c r="J92" s="6">
        <v>1970.29</v>
      </c>
      <c r="K92" t="s">
        <v>63</v>
      </c>
    </row>
    <row r="93" spans="1:11" x14ac:dyDescent="0.35">
      <c r="A93" t="s">
        <v>231</v>
      </c>
      <c r="B93" t="s">
        <v>60</v>
      </c>
      <c r="C93" s="3">
        <v>46087</v>
      </c>
      <c r="D93" t="s">
        <v>6</v>
      </c>
      <c r="E93" t="s">
        <v>42</v>
      </c>
      <c r="F93" t="s">
        <v>247</v>
      </c>
      <c r="G93" t="s">
        <v>244</v>
      </c>
      <c r="H93" s="6">
        <v>2334.12</v>
      </c>
      <c r="I93" s="6">
        <v>23.34</v>
      </c>
      <c r="J93" s="6">
        <v>2310.7800000000002</v>
      </c>
      <c r="K93" t="s">
        <v>63</v>
      </c>
    </row>
    <row r="94" spans="1:11" x14ac:dyDescent="0.35">
      <c r="A94" t="s">
        <v>231</v>
      </c>
      <c r="B94" t="s">
        <v>60</v>
      </c>
      <c r="C94" s="3">
        <v>46087</v>
      </c>
      <c r="D94" t="s">
        <v>5</v>
      </c>
      <c r="E94" t="s">
        <v>36</v>
      </c>
      <c r="F94" t="s">
        <v>248</v>
      </c>
      <c r="G94" t="s">
        <v>249</v>
      </c>
      <c r="H94" s="6">
        <v>4236.6499999999996</v>
      </c>
      <c r="I94" s="6">
        <v>42.37</v>
      </c>
      <c r="J94" s="6">
        <v>4194.28</v>
      </c>
      <c r="K94" t="s">
        <v>63</v>
      </c>
    </row>
    <row r="95" spans="1:11" x14ac:dyDescent="0.35">
      <c r="A95" t="s">
        <v>231</v>
      </c>
      <c r="B95" t="s">
        <v>60</v>
      </c>
      <c r="C95" s="3">
        <v>46087</v>
      </c>
      <c r="D95" t="s">
        <v>5</v>
      </c>
      <c r="E95" t="s">
        <v>40</v>
      </c>
      <c r="F95" t="s">
        <v>250</v>
      </c>
      <c r="G95" t="s">
        <v>251</v>
      </c>
      <c r="H95" s="6">
        <v>4059.86</v>
      </c>
      <c r="I95" s="6">
        <v>0</v>
      </c>
      <c r="J95" s="6">
        <v>4059.86</v>
      </c>
      <c r="K95" t="s">
        <v>63</v>
      </c>
    </row>
    <row r="96" spans="1:11" x14ac:dyDescent="0.35">
      <c r="A96" t="s">
        <v>231</v>
      </c>
      <c r="B96" t="s">
        <v>60</v>
      </c>
      <c r="C96" s="3">
        <v>46087</v>
      </c>
      <c r="D96" t="s">
        <v>5</v>
      </c>
      <c r="E96" t="s">
        <v>16</v>
      </c>
      <c r="F96" t="s">
        <v>252</v>
      </c>
      <c r="G96" t="s">
        <v>90</v>
      </c>
      <c r="H96" s="6">
        <v>8784.39</v>
      </c>
      <c r="I96" s="6">
        <v>87.84</v>
      </c>
      <c r="J96" s="6">
        <v>8696.5499999999993</v>
      </c>
      <c r="K96" t="s">
        <v>63</v>
      </c>
    </row>
    <row r="97" spans="1:11" x14ac:dyDescent="0.35">
      <c r="A97" t="s">
        <v>231</v>
      </c>
      <c r="B97" t="s">
        <v>60</v>
      </c>
      <c r="C97" s="3">
        <v>46087</v>
      </c>
      <c r="D97" t="s">
        <v>5</v>
      </c>
      <c r="E97" t="s">
        <v>14</v>
      </c>
      <c r="F97" t="s">
        <v>253</v>
      </c>
      <c r="G97" t="s">
        <v>254</v>
      </c>
      <c r="H97" s="6">
        <v>7709.15</v>
      </c>
      <c r="I97" s="6">
        <v>77.09</v>
      </c>
      <c r="J97" s="6">
        <v>7632.06</v>
      </c>
      <c r="K97" t="s">
        <v>63</v>
      </c>
    </row>
    <row r="98" spans="1:11" x14ac:dyDescent="0.35">
      <c r="A98" t="s">
        <v>231</v>
      </c>
      <c r="B98" t="s">
        <v>60</v>
      </c>
      <c r="C98" s="3">
        <v>46087</v>
      </c>
      <c r="D98" t="s">
        <v>6</v>
      </c>
      <c r="E98" t="s">
        <v>48</v>
      </c>
      <c r="F98" t="s">
        <v>255</v>
      </c>
      <c r="G98" t="s">
        <v>256</v>
      </c>
      <c r="H98" s="6">
        <v>1472.17</v>
      </c>
      <c r="I98" s="6">
        <v>14.72</v>
      </c>
      <c r="J98" s="6">
        <v>1457.45</v>
      </c>
      <c r="K98" t="s">
        <v>63</v>
      </c>
    </row>
    <row r="99" spans="1:11" x14ac:dyDescent="0.35">
      <c r="A99" t="s">
        <v>257</v>
      </c>
      <c r="B99" t="s">
        <v>84</v>
      </c>
      <c r="C99" s="3">
        <v>46087</v>
      </c>
      <c r="D99" t="s">
        <v>5</v>
      </c>
      <c r="E99" t="s">
        <v>16</v>
      </c>
      <c r="F99" t="s">
        <v>258</v>
      </c>
      <c r="G99" t="s">
        <v>90</v>
      </c>
      <c r="H99" s="6">
        <v>585.55999999999995</v>
      </c>
      <c r="I99" s="6">
        <v>5.86</v>
      </c>
      <c r="J99" s="6">
        <v>579.70000000000005</v>
      </c>
      <c r="K99" t="s">
        <v>63</v>
      </c>
    </row>
    <row r="100" spans="1:11" x14ac:dyDescent="0.35">
      <c r="A100" t="s">
        <v>257</v>
      </c>
      <c r="B100" t="s">
        <v>84</v>
      </c>
      <c r="C100" s="3">
        <v>46087</v>
      </c>
      <c r="D100" t="s">
        <v>5</v>
      </c>
      <c r="E100" t="s">
        <v>38</v>
      </c>
      <c r="F100" t="s">
        <v>259</v>
      </c>
      <c r="G100" t="s">
        <v>191</v>
      </c>
      <c r="H100" s="6">
        <v>2708.42</v>
      </c>
      <c r="I100" s="6">
        <v>0</v>
      </c>
      <c r="J100" s="6">
        <v>2708.42</v>
      </c>
      <c r="K100" t="s">
        <v>63</v>
      </c>
    </row>
    <row r="101" spans="1:11" x14ac:dyDescent="0.35">
      <c r="A101" t="s">
        <v>257</v>
      </c>
      <c r="B101" t="s">
        <v>84</v>
      </c>
      <c r="C101" s="3">
        <v>46087</v>
      </c>
      <c r="D101" t="s">
        <v>6</v>
      </c>
      <c r="E101" t="s">
        <v>26</v>
      </c>
      <c r="F101" t="s">
        <v>260</v>
      </c>
      <c r="G101" t="s">
        <v>238</v>
      </c>
      <c r="H101" s="6">
        <v>8021.31</v>
      </c>
      <c r="I101" s="6">
        <v>80.209999999999994</v>
      </c>
      <c r="J101" s="6">
        <v>7941.1</v>
      </c>
      <c r="K101" t="s">
        <v>63</v>
      </c>
    </row>
    <row r="102" spans="1:11" x14ac:dyDescent="0.35">
      <c r="A102" t="s">
        <v>257</v>
      </c>
      <c r="B102" t="s">
        <v>84</v>
      </c>
      <c r="C102" s="3">
        <v>46087</v>
      </c>
      <c r="D102" t="s">
        <v>5</v>
      </c>
      <c r="E102" t="s">
        <v>16</v>
      </c>
      <c r="F102" t="s">
        <v>261</v>
      </c>
      <c r="G102" t="s">
        <v>113</v>
      </c>
      <c r="H102" s="6">
        <v>797.45</v>
      </c>
      <c r="I102" s="6">
        <v>7.97</v>
      </c>
      <c r="J102" s="6">
        <v>789.48</v>
      </c>
      <c r="K102" t="s">
        <v>63</v>
      </c>
    </row>
    <row r="103" spans="1:11" x14ac:dyDescent="0.35">
      <c r="A103" t="s">
        <v>257</v>
      </c>
      <c r="B103" t="s">
        <v>84</v>
      </c>
      <c r="C103" s="3">
        <v>46087</v>
      </c>
      <c r="D103" t="s">
        <v>6</v>
      </c>
      <c r="E103" t="s">
        <v>15</v>
      </c>
      <c r="F103" t="s">
        <v>262</v>
      </c>
      <c r="G103" t="s">
        <v>263</v>
      </c>
      <c r="H103" s="6">
        <v>3398.36</v>
      </c>
      <c r="I103" s="6">
        <v>33.979999999999997</v>
      </c>
      <c r="J103" s="6">
        <v>3364.38</v>
      </c>
      <c r="K103" t="s">
        <v>63</v>
      </c>
    </row>
    <row r="104" spans="1:11" x14ac:dyDescent="0.35">
      <c r="A104" t="s">
        <v>257</v>
      </c>
      <c r="B104" t="s">
        <v>84</v>
      </c>
      <c r="C104" s="3">
        <v>46087</v>
      </c>
      <c r="D104" t="s">
        <v>5</v>
      </c>
      <c r="E104" t="s">
        <v>24</v>
      </c>
      <c r="F104" t="s">
        <v>264</v>
      </c>
      <c r="G104" t="s">
        <v>265</v>
      </c>
      <c r="H104" s="6">
        <v>2994.13</v>
      </c>
      <c r="I104" s="6">
        <v>29.94</v>
      </c>
      <c r="J104" s="6">
        <v>2964.19</v>
      </c>
      <c r="K104" t="s">
        <v>63</v>
      </c>
    </row>
    <row r="105" spans="1:11" x14ac:dyDescent="0.35">
      <c r="A105" t="s">
        <v>257</v>
      </c>
      <c r="B105" t="s">
        <v>84</v>
      </c>
      <c r="C105" s="3">
        <v>46087</v>
      </c>
      <c r="D105" t="s">
        <v>5</v>
      </c>
      <c r="E105" t="s">
        <v>9</v>
      </c>
      <c r="F105" t="s">
        <v>266</v>
      </c>
      <c r="G105" t="s">
        <v>267</v>
      </c>
      <c r="H105" s="6">
        <v>7092.15</v>
      </c>
      <c r="I105" s="6">
        <v>70.92</v>
      </c>
      <c r="J105" s="6">
        <v>7021.23</v>
      </c>
      <c r="K105" t="s">
        <v>63</v>
      </c>
    </row>
    <row r="106" spans="1:11" x14ac:dyDescent="0.35">
      <c r="A106" t="s">
        <v>257</v>
      </c>
      <c r="B106" t="s">
        <v>84</v>
      </c>
      <c r="C106" s="3">
        <v>46087</v>
      </c>
      <c r="D106" t="s">
        <v>5</v>
      </c>
      <c r="E106" t="s">
        <v>23</v>
      </c>
      <c r="F106" t="s">
        <v>268</v>
      </c>
      <c r="G106" t="s">
        <v>269</v>
      </c>
      <c r="H106" s="6">
        <v>5810.24</v>
      </c>
      <c r="I106" s="6">
        <v>58.1</v>
      </c>
      <c r="J106" s="6">
        <v>5752.14</v>
      </c>
      <c r="K106" t="s">
        <v>63</v>
      </c>
    </row>
    <row r="107" spans="1:11" x14ac:dyDescent="0.35">
      <c r="A107" t="s">
        <v>257</v>
      </c>
      <c r="B107" t="s">
        <v>84</v>
      </c>
      <c r="C107" s="3">
        <v>46087</v>
      </c>
      <c r="D107" t="s">
        <v>5</v>
      </c>
      <c r="E107" t="s">
        <v>43</v>
      </c>
      <c r="F107" t="s">
        <v>270</v>
      </c>
      <c r="G107" t="s">
        <v>271</v>
      </c>
      <c r="H107" s="6">
        <v>6661.47</v>
      </c>
      <c r="I107" s="6">
        <v>66.61</v>
      </c>
      <c r="J107" s="6">
        <v>6594.86</v>
      </c>
      <c r="K107" t="s">
        <v>63</v>
      </c>
    </row>
    <row r="108" spans="1:11" x14ac:dyDescent="0.35">
      <c r="A108" t="s">
        <v>257</v>
      </c>
      <c r="B108" t="s">
        <v>84</v>
      </c>
      <c r="C108" s="3">
        <v>46087</v>
      </c>
      <c r="D108" t="s">
        <v>6</v>
      </c>
      <c r="E108" t="s">
        <v>11</v>
      </c>
      <c r="F108" t="s">
        <v>272</v>
      </c>
      <c r="G108" t="s">
        <v>246</v>
      </c>
      <c r="H108" s="6">
        <v>5353.65</v>
      </c>
      <c r="I108" s="6">
        <v>53.54</v>
      </c>
      <c r="J108" s="6">
        <v>5300.11</v>
      </c>
      <c r="K108" t="s">
        <v>63</v>
      </c>
    </row>
    <row r="109" spans="1:11" x14ac:dyDescent="0.35">
      <c r="A109" t="s">
        <v>257</v>
      </c>
      <c r="B109" t="s">
        <v>84</v>
      </c>
      <c r="C109" s="3">
        <v>46087</v>
      </c>
      <c r="D109" t="s">
        <v>5</v>
      </c>
      <c r="E109" t="s">
        <v>40</v>
      </c>
      <c r="F109" t="s">
        <v>273</v>
      </c>
      <c r="G109" t="s">
        <v>274</v>
      </c>
      <c r="H109" s="6">
        <v>2175.58</v>
      </c>
      <c r="I109" s="6">
        <v>0</v>
      </c>
      <c r="J109" s="6">
        <v>2175.58</v>
      </c>
      <c r="K109" t="s">
        <v>63</v>
      </c>
    </row>
    <row r="110" spans="1:11" x14ac:dyDescent="0.35">
      <c r="A110" t="s">
        <v>275</v>
      </c>
      <c r="B110" t="s">
        <v>60</v>
      </c>
      <c r="C110" s="3">
        <v>46090</v>
      </c>
      <c r="D110" t="s">
        <v>5</v>
      </c>
      <c r="E110" t="s">
        <v>20</v>
      </c>
      <c r="F110" t="s">
        <v>276</v>
      </c>
      <c r="G110" t="s">
        <v>277</v>
      </c>
      <c r="H110" s="6">
        <v>3317.44</v>
      </c>
      <c r="I110" s="6">
        <v>33.17</v>
      </c>
      <c r="J110" s="6">
        <v>3284.27</v>
      </c>
      <c r="K110" t="s">
        <v>63</v>
      </c>
    </row>
    <row r="111" spans="1:11" x14ac:dyDescent="0.35">
      <c r="A111" t="s">
        <v>275</v>
      </c>
      <c r="B111" t="s">
        <v>60</v>
      </c>
      <c r="C111" s="3">
        <v>46090</v>
      </c>
      <c r="D111" t="s">
        <v>5</v>
      </c>
      <c r="E111" t="s">
        <v>20</v>
      </c>
      <c r="F111" t="s">
        <v>250</v>
      </c>
      <c r="G111" t="s">
        <v>209</v>
      </c>
      <c r="H111" s="6">
        <v>2591.5500000000002</v>
      </c>
      <c r="I111" s="6">
        <v>25.92</v>
      </c>
      <c r="J111" s="6">
        <v>2565.63</v>
      </c>
      <c r="K111" t="s">
        <v>63</v>
      </c>
    </row>
    <row r="112" spans="1:11" x14ac:dyDescent="0.35">
      <c r="A112" t="s">
        <v>275</v>
      </c>
      <c r="B112" t="s">
        <v>60</v>
      </c>
      <c r="C112" s="3">
        <v>46090</v>
      </c>
      <c r="D112" t="s">
        <v>6</v>
      </c>
      <c r="E112" t="s">
        <v>10</v>
      </c>
      <c r="F112" t="s">
        <v>278</v>
      </c>
      <c r="G112" t="s">
        <v>216</v>
      </c>
      <c r="H112" s="6">
        <v>1308.8900000000001</v>
      </c>
      <c r="I112" s="6">
        <v>13.09</v>
      </c>
      <c r="J112" s="6">
        <v>1295.8</v>
      </c>
      <c r="K112" t="s">
        <v>63</v>
      </c>
    </row>
    <row r="113" spans="1:11" x14ac:dyDescent="0.35">
      <c r="A113" t="s">
        <v>275</v>
      </c>
      <c r="B113" t="s">
        <v>60</v>
      </c>
      <c r="C113" s="3">
        <v>46090</v>
      </c>
      <c r="D113" t="s">
        <v>7</v>
      </c>
      <c r="E113" t="s">
        <v>35</v>
      </c>
      <c r="F113" t="s">
        <v>279</v>
      </c>
      <c r="G113" t="s">
        <v>280</v>
      </c>
      <c r="H113" s="6">
        <v>6537.85</v>
      </c>
      <c r="I113" s="6">
        <v>65.38</v>
      </c>
      <c r="J113" s="6">
        <v>6472.47</v>
      </c>
      <c r="K113" t="s">
        <v>63</v>
      </c>
    </row>
    <row r="114" spans="1:11" x14ac:dyDescent="0.35">
      <c r="A114" t="s">
        <v>275</v>
      </c>
      <c r="B114" t="s">
        <v>60</v>
      </c>
      <c r="C114" s="3">
        <v>46090</v>
      </c>
      <c r="D114" t="s">
        <v>5</v>
      </c>
      <c r="E114" t="s">
        <v>16</v>
      </c>
      <c r="F114" t="s">
        <v>261</v>
      </c>
      <c r="G114" t="s">
        <v>222</v>
      </c>
      <c r="H114" s="6">
        <v>8448.58</v>
      </c>
      <c r="I114" s="6">
        <v>84.49</v>
      </c>
      <c r="J114" s="6">
        <v>8364.09</v>
      </c>
      <c r="K114" t="s">
        <v>63</v>
      </c>
    </row>
    <row r="115" spans="1:11" x14ac:dyDescent="0.35">
      <c r="A115" t="s">
        <v>275</v>
      </c>
      <c r="B115" t="s">
        <v>60</v>
      </c>
      <c r="C115" s="3">
        <v>46090</v>
      </c>
      <c r="D115" t="s">
        <v>6</v>
      </c>
      <c r="E115" t="s">
        <v>48</v>
      </c>
      <c r="F115" t="s">
        <v>281</v>
      </c>
      <c r="G115" t="s">
        <v>282</v>
      </c>
      <c r="H115" s="6">
        <v>3890.66</v>
      </c>
      <c r="I115" s="6">
        <v>38.909999999999997</v>
      </c>
      <c r="J115" s="6">
        <v>3851.75</v>
      </c>
      <c r="K115" t="s">
        <v>63</v>
      </c>
    </row>
    <row r="116" spans="1:11" x14ac:dyDescent="0.35">
      <c r="A116" t="s">
        <v>275</v>
      </c>
      <c r="B116" t="s">
        <v>60</v>
      </c>
      <c r="C116" s="3">
        <v>46090</v>
      </c>
      <c r="D116" t="s">
        <v>6</v>
      </c>
      <c r="E116" t="s">
        <v>44</v>
      </c>
      <c r="F116" t="s">
        <v>283</v>
      </c>
      <c r="G116" t="s">
        <v>284</v>
      </c>
      <c r="H116" s="6">
        <v>5156.84</v>
      </c>
      <c r="I116" s="6">
        <v>51.57</v>
      </c>
      <c r="J116" s="6">
        <v>5105.2700000000004</v>
      </c>
      <c r="K116" t="s">
        <v>63</v>
      </c>
    </row>
    <row r="117" spans="1:11" x14ac:dyDescent="0.35">
      <c r="A117" t="s">
        <v>275</v>
      </c>
      <c r="B117" t="s">
        <v>60</v>
      </c>
      <c r="C117" s="3">
        <v>46090</v>
      </c>
      <c r="D117" t="s">
        <v>7</v>
      </c>
      <c r="E117" t="s">
        <v>34</v>
      </c>
      <c r="F117" t="s">
        <v>285</v>
      </c>
      <c r="G117" t="s">
        <v>286</v>
      </c>
      <c r="H117" s="6">
        <v>5072.3599999999997</v>
      </c>
      <c r="I117" s="6">
        <v>50.72</v>
      </c>
      <c r="J117" s="6">
        <v>5021.6400000000003</v>
      </c>
      <c r="K117" t="s">
        <v>63</v>
      </c>
    </row>
    <row r="118" spans="1:11" x14ac:dyDescent="0.35">
      <c r="A118" t="s">
        <v>275</v>
      </c>
      <c r="B118" t="s">
        <v>60</v>
      </c>
      <c r="C118" s="3">
        <v>46090</v>
      </c>
      <c r="D118" t="s">
        <v>5</v>
      </c>
      <c r="E118" t="s">
        <v>38</v>
      </c>
      <c r="F118" t="s">
        <v>287</v>
      </c>
      <c r="G118" t="s">
        <v>288</v>
      </c>
      <c r="H118" s="6">
        <v>5839.84</v>
      </c>
      <c r="I118" s="6">
        <v>0</v>
      </c>
      <c r="J118" s="6">
        <v>5839.84</v>
      </c>
      <c r="K118" t="s">
        <v>63</v>
      </c>
    </row>
    <row r="119" spans="1:11" x14ac:dyDescent="0.35">
      <c r="A119" t="s">
        <v>275</v>
      </c>
      <c r="B119" t="s">
        <v>60</v>
      </c>
      <c r="C119" s="3">
        <v>46090</v>
      </c>
      <c r="D119" t="s">
        <v>7</v>
      </c>
      <c r="E119" t="s">
        <v>32</v>
      </c>
      <c r="F119" t="s">
        <v>289</v>
      </c>
      <c r="G119" t="s">
        <v>290</v>
      </c>
      <c r="H119" s="6">
        <v>8824.32</v>
      </c>
      <c r="I119" s="6">
        <v>0</v>
      </c>
      <c r="J119" s="6">
        <v>8824.32</v>
      </c>
      <c r="K119" t="s">
        <v>63</v>
      </c>
    </row>
    <row r="120" spans="1:11" x14ac:dyDescent="0.35">
      <c r="A120" t="s">
        <v>275</v>
      </c>
      <c r="B120" t="s">
        <v>60</v>
      </c>
      <c r="C120" s="3">
        <v>46090</v>
      </c>
      <c r="D120" t="s">
        <v>6</v>
      </c>
      <c r="E120" t="s">
        <v>26</v>
      </c>
      <c r="F120" t="s">
        <v>291</v>
      </c>
      <c r="G120" t="s">
        <v>292</v>
      </c>
      <c r="H120" s="6">
        <v>219.92</v>
      </c>
      <c r="I120" s="6">
        <v>2.2000000000000002</v>
      </c>
      <c r="J120" s="6">
        <v>217.72</v>
      </c>
      <c r="K120" t="s">
        <v>63</v>
      </c>
    </row>
    <row r="121" spans="1:11" x14ac:dyDescent="0.35">
      <c r="A121" t="s">
        <v>275</v>
      </c>
      <c r="B121" t="s">
        <v>60</v>
      </c>
      <c r="C121" s="3">
        <v>46090</v>
      </c>
      <c r="D121" t="s">
        <v>140</v>
      </c>
      <c r="E121" t="s">
        <v>187</v>
      </c>
      <c r="F121" t="s">
        <v>293</v>
      </c>
      <c r="G121" t="s">
        <v>294</v>
      </c>
      <c r="H121" s="6">
        <v>1938.24</v>
      </c>
      <c r="I121" s="6">
        <v>19.38</v>
      </c>
      <c r="J121" s="6">
        <v>1918.86</v>
      </c>
      <c r="K121" t="s">
        <v>63</v>
      </c>
    </row>
    <row r="122" spans="1:11" x14ac:dyDescent="0.35">
      <c r="A122" t="s">
        <v>275</v>
      </c>
      <c r="B122" t="s">
        <v>60</v>
      </c>
      <c r="C122" s="3">
        <v>46090</v>
      </c>
      <c r="D122" t="s">
        <v>6</v>
      </c>
      <c r="E122" t="s">
        <v>26</v>
      </c>
      <c r="F122" t="s">
        <v>295</v>
      </c>
      <c r="G122" t="s">
        <v>296</v>
      </c>
      <c r="H122" s="6">
        <v>8134.38</v>
      </c>
      <c r="I122" s="6">
        <v>81.34</v>
      </c>
      <c r="J122" s="6">
        <v>8053.04</v>
      </c>
      <c r="K122" t="s">
        <v>63</v>
      </c>
    </row>
    <row r="123" spans="1:11" x14ac:dyDescent="0.35">
      <c r="A123" t="s">
        <v>275</v>
      </c>
      <c r="B123" t="s">
        <v>60</v>
      </c>
      <c r="C123" s="3">
        <v>46090</v>
      </c>
      <c r="D123" t="s">
        <v>6</v>
      </c>
      <c r="E123" t="s">
        <v>48</v>
      </c>
      <c r="F123" t="s">
        <v>297</v>
      </c>
      <c r="G123" t="s">
        <v>282</v>
      </c>
      <c r="H123" s="6">
        <v>6624.14</v>
      </c>
      <c r="I123" s="6">
        <v>66.239999999999995</v>
      </c>
      <c r="J123" s="6">
        <v>6557.9</v>
      </c>
      <c r="K123" t="s">
        <v>63</v>
      </c>
    </row>
    <row r="124" spans="1:11" x14ac:dyDescent="0.35">
      <c r="A124" t="s">
        <v>275</v>
      </c>
      <c r="B124" t="s">
        <v>60</v>
      </c>
      <c r="C124" s="3">
        <v>46090</v>
      </c>
      <c r="D124" t="s">
        <v>5</v>
      </c>
      <c r="E124" t="s">
        <v>23</v>
      </c>
      <c r="F124" t="s">
        <v>298</v>
      </c>
      <c r="G124" t="s">
        <v>299</v>
      </c>
      <c r="H124" s="6">
        <v>1204.71</v>
      </c>
      <c r="I124" s="6">
        <v>0</v>
      </c>
      <c r="J124" s="6">
        <v>1204.71</v>
      </c>
      <c r="K124" t="s">
        <v>63</v>
      </c>
    </row>
    <row r="125" spans="1:11" x14ac:dyDescent="0.35">
      <c r="A125" t="s">
        <v>300</v>
      </c>
      <c r="B125" t="s">
        <v>84</v>
      </c>
      <c r="C125" s="3">
        <v>46090</v>
      </c>
      <c r="D125" t="s">
        <v>5</v>
      </c>
      <c r="E125" t="s">
        <v>12</v>
      </c>
      <c r="F125" t="s">
        <v>301</v>
      </c>
      <c r="G125" t="s">
        <v>302</v>
      </c>
      <c r="H125" s="6">
        <v>8910.7800000000007</v>
      </c>
      <c r="I125" s="6">
        <v>89.11</v>
      </c>
      <c r="J125" s="6">
        <v>8821.67</v>
      </c>
      <c r="K125" t="s">
        <v>63</v>
      </c>
    </row>
    <row r="126" spans="1:11" x14ac:dyDescent="0.35">
      <c r="A126" t="s">
        <v>300</v>
      </c>
      <c r="B126" t="s">
        <v>84</v>
      </c>
      <c r="C126" s="3">
        <v>46090</v>
      </c>
      <c r="D126" t="s">
        <v>5</v>
      </c>
      <c r="E126" t="s">
        <v>47</v>
      </c>
      <c r="F126" t="s">
        <v>303</v>
      </c>
      <c r="G126" t="s">
        <v>304</v>
      </c>
      <c r="H126" s="6">
        <v>5491.43</v>
      </c>
      <c r="I126" s="6">
        <v>0</v>
      </c>
      <c r="J126" s="6">
        <v>5491.43</v>
      </c>
      <c r="K126" t="s">
        <v>63</v>
      </c>
    </row>
    <row r="127" spans="1:11" x14ac:dyDescent="0.35">
      <c r="A127" t="s">
        <v>300</v>
      </c>
      <c r="B127" t="s">
        <v>84</v>
      </c>
      <c r="C127" s="3">
        <v>46090</v>
      </c>
      <c r="D127" t="s">
        <v>6</v>
      </c>
      <c r="E127" t="s">
        <v>10</v>
      </c>
      <c r="F127" t="s">
        <v>305</v>
      </c>
      <c r="G127" t="s">
        <v>88</v>
      </c>
      <c r="H127" s="6">
        <v>1624.95</v>
      </c>
      <c r="I127" s="6">
        <v>0</v>
      </c>
      <c r="J127" s="6">
        <v>1624.95</v>
      </c>
      <c r="K127" t="s">
        <v>63</v>
      </c>
    </row>
    <row r="128" spans="1:11" x14ac:dyDescent="0.35">
      <c r="A128" t="s">
        <v>300</v>
      </c>
      <c r="B128" t="s">
        <v>84</v>
      </c>
      <c r="C128" s="3">
        <v>46090</v>
      </c>
      <c r="D128" t="s">
        <v>5</v>
      </c>
      <c r="E128" t="s">
        <v>27</v>
      </c>
      <c r="F128" t="s">
        <v>306</v>
      </c>
      <c r="G128" t="s">
        <v>307</v>
      </c>
      <c r="H128" s="6">
        <v>890.06</v>
      </c>
      <c r="I128" s="6">
        <v>0</v>
      </c>
      <c r="J128" s="6">
        <v>890.06</v>
      </c>
      <c r="K128" t="s">
        <v>63</v>
      </c>
    </row>
    <row r="129" spans="1:11" x14ac:dyDescent="0.35">
      <c r="A129" t="s">
        <v>300</v>
      </c>
      <c r="B129" t="s">
        <v>84</v>
      </c>
      <c r="C129" s="3">
        <v>46090</v>
      </c>
      <c r="D129" t="s">
        <v>7</v>
      </c>
      <c r="E129" t="s">
        <v>32</v>
      </c>
      <c r="F129" t="s">
        <v>308</v>
      </c>
      <c r="G129" t="s">
        <v>309</v>
      </c>
      <c r="H129" s="6">
        <v>6036.97</v>
      </c>
      <c r="I129" s="6">
        <v>60.37</v>
      </c>
      <c r="J129" s="6">
        <v>5976.6</v>
      </c>
      <c r="K129" t="s">
        <v>63</v>
      </c>
    </row>
    <row r="130" spans="1:11" x14ac:dyDescent="0.35">
      <c r="A130" t="s">
        <v>300</v>
      </c>
      <c r="B130" t="s">
        <v>84</v>
      </c>
      <c r="C130" s="3">
        <v>46090</v>
      </c>
      <c r="D130" t="s">
        <v>5</v>
      </c>
      <c r="E130" t="s">
        <v>38</v>
      </c>
      <c r="F130" t="s">
        <v>310</v>
      </c>
      <c r="G130" t="s">
        <v>311</v>
      </c>
      <c r="H130" s="6">
        <v>1908.95</v>
      </c>
      <c r="I130" s="6">
        <v>19.09</v>
      </c>
      <c r="J130" s="6">
        <v>1889.86</v>
      </c>
      <c r="K130" t="s">
        <v>63</v>
      </c>
    </row>
    <row r="131" spans="1:11" x14ac:dyDescent="0.35">
      <c r="A131" t="s">
        <v>300</v>
      </c>
      <c r="B131" t="s">
        <v>84</v>
      </c>
      <c r="C131" s="3">
        <v>46090</v>
      </c>
      <c r="D131" t="s">
        <v>8</v>
      </c>
      <c r="E131" t="s">
        <v>30</v>
      </c>
      <c r="F131" t="s">
        <v>312</v>
      </c>
      <c r="G131" t="s">
        <v>313</v>
      </c>
      <c r="H131" s="6">
        <v>4375.4399999999996</v>
      </c>
      <c r="I131" s="6">
        <v>43.75</v>
      </c>
      <c r="J131" s="6">
        <v>4331.6899999999996</v>
      </c>
      <c r="K131" t="s">
        <v>63</v>
      </c>
    </row>
    <row r="132" spans="1:11" x14ac:dyDescent="0.35">
      <c r="A132" t="s">
        <v>300</v>
      </c>
      <c r="B132" t="s">
        <v>84</v>
      </c>
      <c r="C132" s="3">
        <v>46090</v>
      </c>
      <c r="D132" t="s">
        <v>5</v>
      </c>
      <c r="E132" t="s">
        <v>12</v>
      </c>
      <c r="F132" t="s">
        <v>314</v>
      </c>
      <c r="G132" t="s">
        <v>315</v>
      </c>
      <c r="H132" s="6">
        <v>3855.28</v>
      </c>
      <c r="I132" s="6">
        <v>0</v>
      </c>
      <c r="J132" s="6">
        <v>3855.28</v>
      </c>
      <c r="K132" t="s">
        <v>63</v>
      </c>
    </row>
    <row r="133" spans="1:11" x14ac:dyDescent="0.35">
      <c r="A133" t="s">
        <v>300</v>
      </c>
      <c r="B133" t="s">
        <v>84</v>
      </c>
      <c r="C133" s="3">
        <v>46090</v>
      </c>
      <c r="D133" t="s">
        <v>6</v>
      </c>
      <c r="E133" t="s">
        <v>26</v>
      </c>
      <c r="F133" t="s">
        <v>316</v>
      </c>
      <c r="G133" t="s">
        <v>292</v>
      </c>
      <c r="H133" s="6">
        <v>4560.33</v>
      </c>
      <c r="I133" s="6">
        <v>45.6</v>
      </c>
      <c r="J133" s="6">
        <v>4514.7299999999996</v>
      </c>
      <c r="K133" t="s">
        <v>63</v>
      </c>
    </row>
    <row r="134" spans="1:11" x14ac:dyDescent="0.35">
      <c r="A134" t="s">
        <v>317</v>
      </c>
      <c r="B134" t="s">
        <v>60</v>
      </c>
      <c r="C134" s="3">
        <v>46091</v>
      </c>
      <c r="D134" t="s">
        <v>5</v>
      </c>
      <c r="E134" t="s">
        <v>37</v>
      </c>
      <c r="F134" t="s">
        <v>318</v>
      </c>
      <c r="G134" t="s">
        <v>319</v>
      </c>
      <c r="H134" s="6">
        <v>3375.61</v>
      </c>
      <c r="I134" s="6">
        <v>33.76</v>
      </c>
      <c r="J134" s="6">
        <v>3341.85</v>
      </c>
      <c r="K134" t="s">
        <v>63</v>
      </c>
    </row>
    <row r="135" spans="1:11" x14ac:dyDescent="0.35">
      <c r="A135" t="s">
        <v>317</v>
      </c>
      <c r="B135" t="s">
        <v>60</v>
      </c>
      <c r="C135" s="3">
        <v>46091</v>
      </c>
      <c r="D135" t="s">
        <v>6</v>
      </c>
      <c r="E135" t="s">
        <v>13</v>
      </c>
      <c r="F135" t="s">
        <v>320</v>
      </c>
      <c r="G135" t="s">
        <v>321</v>
      </c>
      <c r="H135" s="6">
        <v>4178.42</v>
      </c>
      <c r="I135" s="6">
        <v>41.78</v>
      </c>
      <c r="J135" s="6">
        <v>4136.6400000000003</v>
      </c>
      <c r="K135" t="s">
        <v>63</v>
      </c>
    </row>
    <row r="136" spans="1:11" x14ac:dyDescent="0.35">
      <c r="A136" t="s">
        <v>317</v>
      </c>
      <c r="B136" t="s">
        <v>60</v>
      </c>
      <c r="C136" s="3">
        <v>46091</v>
      </c>
      <c r="D136" t="s">
        <v>5</v>
      </c>
      <c r="E136" t="s">
        <v>9</v>
      </c>
      <c r="F136" t="s">
        <v>322</v>
      </c>
      <c r="G136" t="s">
        <v>233</v>
      </c>
      <c r="H136" s="6">
        <v>5737.36</v>
      </c>
      <c r="I136" s="6">
        <v>0</v>
      </c>
      <c r="J136" s="6">
        <v>5737.36</v>
      </c>
      <c r="K136" t="s">
        <v>63</v>
      </c>
    </row>
    <row r="137" spans="1:11" x14ac:dyDescent="0.35">
      <c r="A137" t="s">
        <v>317</v>
      </c>
      <c r="B137" t="s">
        <v>60</v>
      </c>
      <c r="C137" s="3">
        <v>46091</v>
      </c>
      <c r="D137" t="s">
        <v>6</v>
      </c>
      <c r="E137" t="s">
        <v>42</v>
      </c>
      <c r="F137" t="s">
        <v>323</v>
      </c>
      <c r="G137" t="s">
        <v>324</v>
      </c>
      <c r="H137" s="6">
        <v>5758.42</v>
      </c>
      <c r="I137" s="6">
        <v>57.58</v>
      </c>
      <c r="J137" s="6">
        <v>5700.84</v>
      </c>
      <c r="K137" t="s">
        <v>63</v>
      </c>
    </row>
    <row r="138" spans="1:11" x14ac:dyDescent="0.35">
      <c r="A138" t="s">
        <v>317</v>
      </c>
      <c r="B138" t="s">
        <v>60</v>
      </c>
      <c r="C138" s="3">
        <v>46091</v>
      </c>
      <c r="D138" t="s">
        <v>5</v>
      </c>
      <c r="E138" t="s">
        <v>25</v>
      </c>
      <c r="F138" t="s">
        <v>325</v>
      </c>
      <c r="G138" t="s">
        <v>326</v>
      </c>
      <c r="H138" s="6">
        <v>1216.24</v>
      </c>
      <c r="I138" s="6">
        <v>12.16</v>
      </c>
      <c r="J138" s="6">
        <v>1204.08</v>
      </c>
      <c r="K138" t="s">
        <v>63</v>
      </c>
    </row>
    <row r="139" spans="1:11" x14ac:dyDescent="0.35">
      <c r="A139" t="s">
        <v>317</v>
      </c>
      <c r="B139" t="s">
        <v>60</v>
      </c>
      <c r="C139" s="3">
        <v>46091</v>
      </c>
      <c r="D139" t="s">
        <v>8</v>
      </c>
      <c r="E139" t="s">
        <v>30</v>
      </c>
      <c r="F139" t="s">
        <v>327</v>
      </c>
      <c r="G139" t="s">
        <v>328</v>
      </c>
      <c r="H139" s="6">
        <v>1331.78</v>
      </c>
      <c r="I139" s="6">
        <v>13.32</v>
      </c>
      <c r="J139" s="6">
        <v>1318.46</v>
      </c>
      <c r="K139" t="s">
        <v>63</v>
      </c>
    </row>
    <row r="140" spans="1:11" x14ac:dyDescent="0.35">
      <c r="A140" t="s">
        <v>317</v>
      </c>
      <c r="B140" t="s">
        <v>60</v>
      </c>
      <c r="C140" s="3">
        <v>46091</v>
      </c>
      <c r="D140" t="s">
        <v>5</v>
      </c>
      <c r="E140" t="s">
        <v>20</v>
      </c>
      <c r="F140" t="s">
        <v>329</v>
      </c>
      <c r="G140" t="s">
        <v>330</v>
      </c>
      <c r="H140" s="6">
        <v>325.97000000000003</v>
      </c>
      <c r="I140" s="6">
        <v>0</v>
      </c>
      <c r="J140" s="6">
        <v>325.97000000000003</v>
      </c>
      <c r="K140" t="s">
        <v>63</v>
      </c>
    </row>
    <row r="141" spans="1:11" x14ac:dyDescent="0.35">
      <c r="A141" t="s">
        <v>317</v>
      </c>
      <c r="B141" t="s">
        <v>60</v>
      </c>
      <c r="C141" s="3">
        <v>46091</v>
      </c>
      <c r="D141" t="s">
        <v>5</v>
      </c>
      <c r="E141" t="s">
        <v>12</v>
      </c>
      <c r="F141" t="s">
        <v>331</v>
      </c>
      <c r="G141" t="s">
        <v>332</v>
      </c>
      <c r="H141" s="6">
        <v>4492.8599999999997</v>
      </c>
      <c r="I141" s="6">
        <v>44.93</v>
      </c>
      <c r="J141" s="6">
        <v>4447.93</v>
      </c>
      <c r="K141" t="s">
        <v>63</v>
      </c>
    </row>
    <row r="142" spans="1:11" x14ac:dyDescent="0.35">
      <c r="A142" t="s">
        <v>317</v>
      </c>
      <c r="B142" t="s">
        <v>60</v>
      </c>
      <c r="C142" s="3">
        <v>46091</v>
      </c>
      <c r="D142" t="s">
        <v>8</v>
      </c>
      <c r="E142" t="s">
        <v>31</v>
      </c>
      <c r="F142" t="s">
        <v>333</v>
      </c>
      <c r="G142" t="s">
        <v>99</v>
      </c>
      <c r="H142" s="6">
        <v>7334.51</v>
      </c>
      <c r="I142" s="6">
        <v>73.349999999999994</v>
      </c>
      <c r="J142" s="6">
        <v>7261.16</v>
      </c>
      <c r="K142" t="s">
        <v>63</v>
      </c>
    </row>
    <row r="143" spans="1:11" x14ac:dyDescent="0.35">
      <c r="A143" t="s">
        <v>334</v>
      </c>
      <c r="B143" t="s">
        <v>84</v>
      </c>
      <c r="C143" s="3">
        <v>46091</v>
      </c>
      <c r="D143" t="s">
        <v>5</v>
      </c>
      <c r="E143" t="s">
        <v>24</v>
      </c>
      <c r="F143" t="s">
        <v>335</v>
      </c>
      <c r="G143" t="s">
        <v>161</v>
      </c>
      <c r="H143" s="6">
        <v>4476.9399999999996</v>
      </c>
      <c r="I143" s="6">
        <v>44.77</v>
      </c>
      <c r="J143" s="6">
        <v>4432.17</v>
      </c>
      <c r="K143" t="s">
        <v>63</v>
      </c>
    </row>
    <row r="144" spans="1:11" x14ac:dyDescent="0.35">
      <c r="A144" t="s">
        <v>334</v>
      </c>
      <c r="B144" t="s">
        <v>84</v>
      </c>
      <c r="C144" s="3">
        <v>46091</v>
      </c>
      <c r="D144" t="s">
        <v>7</v>
      </c>
      <c r="E144" t="s">
        <v>35</v>
      </c>
      <c r="F144" t="s">
        <v>336</v>
      </c>
      <c r="G144" t="s">
        <v>337</v>
      </c>
      <c r="H144" s="6">
        <v>3468.29</v>
      </c>
      <c r="I144" s="6">
        <v>0</v>
      </c>
      <c r="J144" s="6">
        <v>3468.29</v>
      </c>
      <c r="K144" t="s">
        <v>63</v>
      </c>
    </row>
    <row r="145" spans="1:11" x14ac:dyDescent="0.35">
      <c r="A145" t="s">
        <v>334</v>
      </c>
      <c r="B145" t="s">
        <v>84</v>
      </c>
      <c r="C145" s="3">
        <v>46091</v>
      </c>
      <c r="D145" t="s">
        <v>8</v>
      </c>
      <c r="E145" t="s">
        <v>30</v>
      </c>
      <c r="F145" t="s">
        <v>338</v>
      </c>
      <c r="G145" t="s">
        <v>339</v>
      </c>
      <c r="H145" s="6">
        <v>8874.2800000000007</v>
      </c>
      <c r="I145" s="6">
        <v>88.74</v>
      </c>
      <c r="J145" s="6">
        <v>8785.5400000000009</v>
      </c>
      <c r="K145" t="s">
        <v>63</v>
      </c>
    </row>
    <row r="146" spans="1:11" x14ac:dyDescent="0.35">
      <c r="A146" t="s">
        <v>334</v>
      </c>
      <c r="B146" t="s">
        <v>84</v>
      </c>
      <c r="C146" s="3">
        <v>46091</v>
      </c>
      <c r="D146" t="s">
        <v>5</v>
      </c>
      <c r="E146" t="s">
        <v>27</v>
      </c>
      <c r="F146" t="s">
        <v>340</v>
      </c>
      <c r="G146" t="s">
        <v>76</v>
      </c>
      <c r="H146" s="6">
        <v>7603.8</v>
      </c>
      <c r="I146" s="6">
        <v>0</v>
      </c>
      <c r="J146" s="6">
        <v>7603.8</v>
      </c>
      <c r="K146" t="s">
        <v>63</v>
      </c>
    </row>
    <row r="147" spans="1:11" x14ac:dyDescent="0.35">
      <c r="A147" t="s">
        <v>334</v>
      </c>
      <c r="B147" t="s">
        <v>84</v>
      </c>
      <c r="C147" s="3">
        <v>46091</v>
      </c>
      <c r="D147" t="s">
        <v>140</v>
      </c>
      <c r="E147" t="s">
        <v>141</v>
      </c>
      <c r="F147" t="s">
        <v>341</v>
      </c>
      <c r="G147" t="s">
        <v>143</v>
      </c>
      <c r="H147" s="6">
        <v>3024.3</v>
      </c>
      <c r="I147" s="6">
        <v>30.24</v>
      </c>
      <c r="J147" s="6">
        <v>2994.06</v>
      </c>
      <c r="K147" t="s">
        <v>63</v>
      </c>
    </row>
    <row r="148" spans="1:11" x14ac:dyDescent="0.35">
      <c r="A148" t="s">
        <v>334</v>
      </c>
      <c r="B148" t="s">
        <v>84</v>
      </c>
      <c r="C148" s="3">
        <v>46091</v>
      </c>
      <c r="D148" t="s">
        <v>5</v>
      </c>
      <c r="E148" t="s">
        <v>23</v>
      </c>
      <c r="F148" t="s">
        <v>342</v>
      </c>
      <c r="G148" t="s">
        <v>78</v>
      </c>
      <c r="H148" s="6">
        <v>2153.91</v>
      </c>
      <c r="I148" s="6">
        <v>21.54</v>
      </c>
      <c r="J148" s="6">
        <v>2132.37</v>
      </c>
      <c r="K148" t="s">
        <v>63</v>
      </c>
    </row>
    <row r="149" spans="1:11" x14ac:dyDescent="0.35">
      <c r="A149" t="s">
        <v>334</v>
      </c>
      <c r="B149" t="s">
        <v>84</v>
      </c>
      <c r="C149" s="3">
        <v>46091</v>
      </c>
      <c r="D149" t="s">
        <v>5</v>
      </c>
      <c r="E149" t="s">
        <v>38</v>
      </c>
      <c r="F149" t="s">
        <v>343</v>
      </c>
      <c r="G149" t="s">
        <v>344</v>
      </c>
      <c r="H149" s="6">
        <v>4007.38</v>
      </c>
      <c r="I149" s="6">
        <v>40.07</v>
      </c>
      <c r="J149" s="6">
        <v>3967.31</v>
      </c>
      <c r="K149" t="s">
        <v>63</v>
      </c>
    </row>
    <row r="150" spans="1:11" x14ac:dyDescent="0.35">
      <c r="A150" t="s">
        <v>334</v>
      </c>
      <c r="B150" t="s">
        <v>84</v>
      </c>
      <c r="C150" s="3">
        <v>46091</v>
      </c>
      <c r="D150" t="s">
        <v>6</v>
      </c>
      <c r="E150" t="s">
        <v>44</v>
      </c>
      <c r="F150" t="s">
        <v>345</v>
      </c>
      <c r="G150" t="s">
        <v>185</v>
      </c>
      <c r="H150" s="6">
        <v>2682.8</v>
      </c>
      <c r="I150" s="6">
        <v>26.83</v>
      </c>
      <c r="J150" s="6">
        <v>2655.97</v>
      </c>
      <c r="K150" t="s">
        <v>63</v>
      </c>
    </row>
    <row r="151" spans="1:11" x14ac:dyDescent="0.35">
      <c r="A151" t="s">
        <v>346</v>
      </c>
      <c r="B151" t="s">
        <v>60</v>
      </c>
      <c r="C151" s="3">
        <v>46092</v>
      </c>
      <c r="D151" t="s">
        <v>5</v>
      </c>
      <c r="E151" t="s">
        <v>40</v>
      </c>
      <c r="F151" t="s">
        <v>347</v>
      </c>
      <c r="G151" t="s">
        <v>133</v>
      </c>
      <c r="H151" s="6">
        <v>5770.47</v>
      </c>
      <c r="I151" s="6">
        <v>0</v>
      </c>
      <c r="J151" s="6">
        <v>5770.47</v>
      </c>
      <c r="K151" t="s">
        <v>63</v>
      </c>
    </row>
    <row r="152" spans="1:11" x14ac:dyDescent="0.35">
      <c r="A152" t="s">
        <v>346</v>
      </c>
      <c r="B152" t="s">
        <v>60</v>
      </c>
      <c r="C152" s="3">
        <v>46092</v>
      </c>
      <c r="D152" t="s">
        <v>5</v>
      </c>
      <c r="E152" t="s">
        <v>23</v>
      </c>
      <c r="F152" t="s">
        <v>348</v>
      </c>
      <c r="G152" t="s">
        <v>269</v>
      </c>
      <c r="H152" s="6">
        <v>7496.35</v>
      </c>
      <c r="I152" s="6">
        <v>74.959999999999994</v>
      </c>
      <c r="J152" s="6">
        <v>7421.39</v>
      </c>
      <c r="K152" t="s">
        <v>63</v>
      </c>
    </row>
    <row r="153" spans="1:11" x14ac:dyDescent="0.35">
      <c r="A153" t="s">
        <v>346</v>
      </c>
      <c r="B153" t="s">
        <v>60</v>
      </c>
      <c r="C153" s="3">
        <v>46092</v>
      </c>
      <c r="D153" t="s">
        <v>140</v>
      </c>
      <c r="E153" t="s">
        <v>187</v>
      </c>
      <c r="F153" t="s">
        <v>349</v>
      </c>
      <c r="G153" t="s">
        <v>350</v>
      </c>
      <c r="H153" s="6">
        <v>3375.86</v>
      </c>
      <c r="I153" s="6">
        <v>33.76</v>
      </c>
      <c r="J153" s="6">
        <v>3342.1</v>
      </c>
      <c r="K153" t="s">
        <v>63</v>
      </c>
    </row>
    <row r="154" spans="1:11" x14ac:dyDescent="0.35">
      <c r="A154" t="s">
        <v>346</v>
      </c>
      <c r="B154" t="s">
        <v>60</v>
      </c>
      <c r="C154" s="3">
        <v>46092</v>
      </c>
      <c r="D154" t="s">
        <v>6</v>
      </c>
      <c r="E154" t="s">
        <v>42</v>
      </c>
      <c r="F154" t="s">
        <v>351</v>
      </c>
      <c r="G154" t="s">
        <v>324</v>
      </c>
      <c r="H154" s="6">
        <v>1625.2</v>
      </c>
      <c r="I154" s="6">
        <v>16.25</v>
      </c>
      <c r="J154" s="6">
        <v>1608.95</v>
      </c>
      <c r="K154" t="s">
        <v>63</v>
      </c>
    </row>
    <row r="155" spans="1:11" x14ac:dyDescent="0.35">
      <c r="A155" t="s">
        <v>346</v>
      </c>
      <c r="B155" t="s">
        <v>60</v>
      </c>
      <c r="C155" s="3">
        <v>46092</v>
      </c>
      <c r="D155" t="s">
        <v>6</v>
      </c>
      <c r="E155" t="s">
        <v>42</v>
      </c>
      <c r="F155" t="s">
        <v>352</v>
      </c>
      <c r="G155" t="s">
        <v>353</v>
      </c>
      <c r="H155" s="6">
        <v>2850.61</v>
      </c>
      <c r="I155" s="6">
        <v>28.51</v>
      </c>
      <c r="J155" s="6">
        <v>2822.1</v>
      </c>
      <c r="K155" t="s">
        <v>63</v>
      </c>
    </row>
    <row r="156" spans="1:11" x14ac:dyDescent="0.35">
      <c r="A156" t="s">
        <v>346</v>
      </c>
      <c r="B156" t="s">
        <v>60</v>
      </c>
      <c r="C156" s="3">
        <v>46092</v>
      </c>
      <c r="D156" t="s">
        <v>6</v>
      </c>
      <c r="E156" t="s">
        <v>15</v>
      </c>
      <c r="F156" t="s">
        <v>354</v>
      </c>
      <c r="G156" t="s">
        <v>263</v>
      </c>
      <c r="H156" s="6">
        <v>4375.08</v>
      </c>
      <c r="I156" s="6">
        <v>43.75</v>
      </c>
      <c r="J156" s="6">
        <v>4331.33</v>
      </c>
      <c r="K156" t="s">
        <v>63</v>
      </c>
    </row>
    <row r="157" spans="1:11" x14ac:dyDescent="0.35">
      <c r="A157" t="s">
        <v>346</v>
      </c>
      <c r="B157" t="s">
        <v>60</v>
      </c>
      <c r="C157" s="3">
        <v>46092</v>
      </c>
      <c r="D157" t="s">
        <v>5</v>
      </c>
      <c r="E157" t="s">
        <v>19</v>
      </c>
      <c r="F157" t="s">
        <v>355</v>
      </c>
      <c r="G157" t="s">
        <v>356</v>
      </c>
      <c r="H157" s="6">
        <v>543.64</v>
      </c>
      <c r="I157" s="6">
        <v>5.44</v>
      </c>
      <c r="J157" s="6">
        <v>538.20000000000005</v>
      </c>
      <c r="K157" t="s">
        <v>63</v>
      </c>
    </row>
    <row r="158" spans="1:11" x14ac:dyDescent="0.35">
      <c r="A158" t="s">
        <v>346</v>
      </c>
      <c r="B158" t="s">
        <v>60</v>
      </c>
      <c r="C158" s="3">
        <v>46092</v>
      </c>
      <c r="D158" t="s">
        <v>6</v>
      </c>
      <c r="E158" t="s">
        <v>13</v>
      </c>
      <c r="F158" t="s">
        <v>357</v>
      </c>
      <c r="G158" t="s">
        <v>358</v>
      </c>
      <c r="H158" s="6">
        <v>3972.19</v>
      </c>
      <c r="I158" s="6">
        <v>39.72</v>
      </c>
      <c r="J158" s="6">
        <v>3932.47</v>
      </c>
      <c r="K158" t="s">
        <v>63</v>
      </c>
    </row>
    <row r="159" spans="1:11" x14ac:dyDescent="0.35">
      <c r="A159" t="s">
        <v>346</v>
      </c>
      <c r="B159" t="s">
        <v>60</v>
      </c>
      <c r="C159" s="3">
        <v>46092</v>
      </c>
      <c r="D159" t="s">
        <v>5</v>
      </c>
      <c r="E159" t="s">
        <v>9</v>
      </c>
      <c r="F159" t="s">
        <v>359</v>
      </c>
      <c r="G159" t="s">
        <v>360</v>
      </c>
      <c r="H159" s="6">
        <v>2597.23</v>
      </c>
      <c r="I159" s="6">
        <v>25.97</v>
      </c>
      <c r="J159" s="6">
        <v>2571.2600000000002</v>
      </c>
      <c r="K159" t="s">
        <v>63</v>
      </c>
    </row>
    <row r="160" spans="1:11" x14ac:dyDescent="0.35">
      <c r="A160" t="s">
        <v>346</v>
      </c>
      <c r="B160" t="s">
        <v>60</v>
      </c>
      <c r="C160" s="3">
        <v>46092</v>
      </c>
      <c r="D160" t="s">
        <v>7</v>
      </c>
      <c r="E160" t="s">
        <v>34</v>
      </c>
      <c r="F160" t="s">
        <v>361</v>
      </c>
      <c r="G160" t="s">
        <v>286</v>
      </c>
      <c r="H160" s="6">
        <v>8638.83</v>
      </c>
      <c r="I160" s="6">
        <v>0</v>
      </c>
      <c r="J160" s="6">
        <v>8638.83</v>
      </c>
      <c r="K160" t="s">
        <v>63</v>
      </c>
    </row>
    <row r="161" spans="1:11" x14ac:dyDescent="0.35">
      <c r="A161" t="s">
        <v>346</v>
      </c>
      <c r="B161" t="s">
        <v>60</v>
      </c>
      <c r="C161" s="3">
        <v>46092</v>
      </c>
      <c r="D161" t="s">
        <v>7</v>
      </c>
      <c r="E161" t="s">
        <v>29</v>
      </c>
      <c r="F161" t="s">
        <v>245</v>
      </c>
      <c r="G161" t="s">
        <v>362</v>
      </c>
      <c r="H161" s="6">
        <v>2347.27</v>
      </c>
      <c r="I161" s="6">
        <v>23.47</v>
      </c>
      <c r="J161" s="6">
        <v>2323.8000000000002</v>
      </c>
      <c r="K161" t="s">
        <v>63</v>
      </c>
    </row>
    <row r="162" spans="1:11" x14ac:dyDescent="0.35">
      <c r="A162" t="s">
        <v>346</v>
      </c>
      <c r="B162" t="s">
        <v>60</v>
      </c>
      <c r="C162" s="3">
        <v>46092</v>
      </c>
      <c r="D162" t="s">
        <v>5</v>
      </c>
      <c r="E162" t="s">
        <v>28</v>
      </c>
      <c r="F162" t="s">
        <v>363</v>
      </c>
      <c r="G162" t="s">
        <v>364</v>
      </c>
      <c r="H162" s="6">
        <v>6071.39</v>
      </c>
      <c r="I162" s="6">
        <v>0</v>
      </c>
      <c r="J162" s="6">
        <v>6071.39</v>
      </c>
      <c r="K162" t="s">
        <v>63</v>
      </c>
    </row>
    <row r="163" spans="1:11" x14ac:dyDescent="0.35">
      <c r="A163" t="s">
        <v>365</v>
      </c>
      <c r="B163" t="s">
        <v>84</v>
      </c>
      <c r="C163" s="3">
        <v>46092</v>
      </c>
      <c r="D163" t="s">
        <v>5</v>
      </c>
      <c r="E163" t="s">
        <v>27</v>
      </c>
      <c r="F163" t="s">
        <v>366</v>
      </c>
      <c r="G163" t="s">
        <v>367</v>
      </c>
      <c r="H163" s="6">
        <v>8445.33</v>
      </c>
      <c r="I163" s="6">
        <v>84.45</v>
      </c>
      <c r="J163" s="6">
        <v>8360.8799999999992</v>
      </c>
      <c r="K163" t="s">
        <v>63</v>
      </c>
    </row>
    <row r="164" spans="1:11" x14ac:dyDescent="0.35">
      <c r="A164" t="s">
        <v>365</v>
      </c>
      <c r="B164" t="s">
        <v>84</v>
      </c>
      <c r="C164" s="3">
        <v>46092</v>
      </c>
      <c r="D164" t="s">
        <v>6</v>
      </c>
      <c r="E164" t="s">
        <v>15</v>
      </c>
      <c r="F164" t="s">
        <v>368</v>
      </c>
      <c r="G164" t="s">
        <v>369</v>
      </c>
      <c r="H164" s="6">
        <v>772.87</v>
      </c>
      <c r="I164" s="6">
        <v>0</v>
      </c>
      <c r="J164" s="6">
        <v>772.87</v>
      </c>
      <c r="K164" t="s">
        <v>63</v>
      </c>
    </row>
    <row r="165" spans="1:11" x14ac:dyDescent="0.35">
      <c r="A165" t="s">
        <v>365</v>
      </c>
      <c r="B165" t="s">
        <v>84</v>
      </c>
      <c r="C165" s="3">
        <v>46092</v>
      </c>
      <c r="D165" t="s">
        <v>7</v>
      </c>
      <c r="E165" t="s">
        <v>32</v>
      </c>
      <c r="F165" t="s">
        <v>370</v>
      </c>
      <c r="G165" t="s">
        <v>80</v>
      </c>
      <c r="H165" s="6">
        <v>5054.88</v>
      </c>
      <c r="I165" s="6">
        <v>50.55</v>
      </c>
      <c r="J165" s="6">
        <v>5004.33</v>
      </c>
      <c r="K165" t="s">
        <v>63</v>
      </c>
    </row>
    <row r="166" spans="1:11" x14ac:dyDescent="0.35">
      <c r="A166" t="s">
        <v>365</v>
      </c>
      <c r="B166" t="s">
        <v>84</v>
      </c>
      <c r="C166" s="3">
        <v>46092</v>
      </c>
      <c r="D166" t="s">
        <v>5</v>
      </c>
      <c r="E166" t="s">
        <v>23</v>
      </c>
      <c r="F166" t="s">
        <v>371</v>
      </c>
      <c r="G166" t="s">
        <v>372</v>
      </c>
      <c r="H166" s="6">
        <v>6453.64</v>
      </c>
      <c r="I166" s="6">
        <v>64.540000000000006</v>
      </c>
      <c r="J166" s="6">
        <v>6389.1</v>
      </c>
      <c r="K166" t="s">
        <v>63</v>
      </c>
    </row>
    <row r="167" spans="1:11" x14ac:dyDescent="0.35">
      <c r="A167" t="s">
        <v>365</v>
      </c>
      <c r="B167" t="s">
        <v>84</v>
      </c>
      <c r="C167" s="3">
        <v>46092</v>
      </c>
      <c r="D167" t="s">
        <v>6</v>
      </c>
      <c r="E167" t="s">
        <v>18</v>
      </c>
      <c r="F167" t="s">
        <v>373</v>
      </c>
      <c r="G167" t="s">
        <v>374</v>
      </c>
      <c r="H167" s="6">
        <v>2800.22</v>
      </c>
      <c r="I167" s="6">
        <v>28</v>
      </c>
      <c r="J167" s="6">
        <v>2772.22</v>
      </c>
      <c r="K167" t="s">
        <v>63</v>
      </c>
    </row>
    <row r="168" spans="1:11" x14ac:dyDescent="0.35">
      <c r="A168" t="s">
        <v>365</v>
      </c>
      <c r="B168" t="s">
        <v>84</v>
      </c>
      <c r="C168" s="3">
        <v>46092</v>
      </c>
      <c r="D168" t="s">
        <v>5</v>
      </c>
      <c r="E168" t="s">
        <v>37</v>
      </c>
      <c r="F168" t="s">
        <v>375</v>
      </c>
      <c r="G168" t="s">
        <v>376</v>
      </c>
      <c r="H168" s="6">
        <v>5242.92</v>
      </c>
      <c r="I168" s="6">
        <v>52.43</v>
      </c>
      <c r="J168" s="6">
        <v>5190.49</v>
      </c>
      <c r="K168" t="s">
        <v>63</v>
      </c>
    </row>
    <row r="169" spans="1:11" x14ac:dyDescent="0.35">
      <c r="A169" t="s">
        <v>365</v>
      </c>
      <c r="B169" t="s">
        <v>84</v>
      </c>
      <c r="C169" s="3">
        <v>46092</v>
      </c>
      <c r="D169" t="s">
        <v>6</v>
      </c>
      <c r="E169" t="s">
        <v>44</v>
      </c>
      <c r="F169" t="s">
        <v>377</v>
      </c>
      <c r="G169" t="s">
        <v>185</v>
      </c>
      <c r="H169" s="6">
        <v>8797.81</v>
      </c>
      <c r="I169" s="6">
        <v>0</v>
      </c>
      <c r="J169" s="6">
        <v>8797.81</v>
      </c>
      <c r="K169" t="s">
        <v>63</v>
      </c>
    </row>
    <row r="170" spans="1:11" x14ac:dyDescent="0.35">
      <c r="A170" t="s">
        <v>365</v>
      </c>
      <c r="B170" t="s">
        <v>84</v>
      </c>
      <c r="C170" s="3">
        <v>46092</v>
      </c>
      <c r="D170" t="s">
        <v>6</v>
      </c>
      <c r="E170" t="s">
        <v>18</v>
      </c>
      <c r="F170" t="s">
        <v>354</v>
      </c>
      <c r="G170" t="s">
        <v>378</v>
      </c>
      <c r="H170" s="6">
        <v>3785.61</v>
      </c>
      <c r="I170" s="6">
        <v>37.86</v>
      </c>
      <c r="J170" s="6">
        <v>3747.75</v>
      </c>
      <c r="K170" t="s">
        <v>63</v>
      </c>
    </row>
    <row r="171" spans="1:11" x14ac:dyDescent="0.35">
      <c r="A171" t="s">
        <v>365</v>
      </c>
      <c r="B171" t="s">
        <v>84</v>
      </c>
      <c r="C171" s="3">
        <v>46092</v>
      </c>
      <c r="D171" t="s">
        <v>5</v>
      </c>
      <c r="E171" t="s">
        <v>9</v>
      </c>
      <c r="F171" t="s">
        <v>379</v>
      </c>
      <c r="G171" t="s">
        <v>360</v>
      </c>
      <c r="H171" s="6">
        <v>3954.51</v>
      </c>
      <c r="I171" s="6">
        <v>39.549999999999997</v>
      </c>
      <c r="J171" s="6">
        <v>3914.96</v>
      </c>
      <c r="K171" t="s">
        <v>63</v>
      </c>
    </row>
    <row r="172" spans="1:11" x14ac:dyDescent="0.35">
      <c r="A172" t="s">
        <v>365</v>
      </c>
      <c r="B172" t="s">
        <v>84</v>
      </c>
      <c r="C172" s="3">
        <v>46092</v>
      </c>
      <c r="D172" t="s">
        <v>6</v>
      </c>
      <c r="E172" t="s">
        <v>44</v>
      </c>
      <c r="F172" t="s">
        <v>380</v>
      </c>
      <c r="G172" t="s">
        <v>381</v>
      </c>
      <c r="H172" s="6">
        <v>3125.83</v>
      </c>
      <c r="I172" s="6">
        <v>31.26</v>
      </c>
      <c r="J172" s="6">
        <v>3094.57</v>
      </c>
      <c r="K172" t="s">
        <v>63</v>
      </c>
    </row>
    <row r="173" spans="1:11" x14ac:dyDescent="0.35">
      <c r="A173" t="s">
        <v>365</v>
      </c>
      <c r="B173" t="s">
        <v>84</v>
      </c>
      <c r="C173" s="3">
        <v>46092</v>
      </c>
      <c r="D173" t="s">
        <v>7</v>
      </c>
      <c r="E173" t="s">
        <v>21</v>
      </c>
      <c r="F173" t="s">
        <v>382</v>
      </c>
      <c r="G173" t="s">
        <v>383</v>
      </c>
      <c r="H173" s="6">
        <v>3437.04</v>
      </c>
      <c r="I173" s="6">
        <v>0</v>
      </c>
      <c r="J173" s="6">
        <v>3437.04</v>
      </c>
      <c r="K173" t="s">
        <v>63</v>
      </c>
    </row>
    <row r="174" spans="1:11" x14ac:dyDescent="0.35">
      <c r="A174" t="s">
        <v>384</v>
      </c>
      <c r="B174" t="s">
        <v>60</v>
      </c>
      <c r="C174" s="3">
        <v>46093</v>
      </c>
      <c r="D174" t="s">
        <v>140</v>
      </c>
      <c r="E174" t="s">
        <v>187</v>
      </c>
      <c r="F174" t="s">
        <v>385</v>
      </c>
      <c r="G174" t="s">
        <v>386</v>
      </c>
      <c r="H174" s="6">
        <v>814.19</v>
      </c>
      <c r="I174" s="6">
        <v>8.14</v>
      </c>
      <c r="J174" s="6">
        <v>806.05</v>
      </c>
      <c r="K174" t="s">
        <v>63</v>
      </c>
    </row>
    <row r="175" spans="1:11" x14ac:dyDescent="0.35">
      <c r="A175" t="s">
        <v>384</v>
      </c>
      <c r="B175" t="s">
        <v>60</v>
      </c>
      <c r="C175" s="3">
        <v>46093</v>
      </c>
      <c r="D175" t="s">
        <v>7</v>
      </c>
      <c r="E175" t="s">
        <v>29</v>
      </c>
      <c r="F175" t="s">
        <v>387</v>
      </c>
      <c r="G175" t="s">
        <v>388</v>
      </c>
      <c r="H175" s="6">
        <v>2359.06</v>
      </c>
      <c r="I175" s="6">
        <v>0</v>
      </c>
      <c r="J175" s="6">
        <v>2359.06</v>
      </c>
      <c r="K175" t="s">
        <v>63</v>
      </c>
    </row>
    <row r="176" spans="1:11" x14ac:dyDescent="0.35">
      <c r="A176" t="s">
        <v>384</v>
      </c>
      <c r="B176" t="s">
        <v>60</v>
      </c>
      <c r="C176" s="3">
        <v>46093</v>
      </c>
      <c r="D176" t="s">
        <v>8</v>
      </c>
      <c r="E176" t="s">
        <v>39</v>
      </c>
      <c r="F176" t="s">
        <v>389</v>
      </c>
      <c r="G176" t="s">
        <v>390</v>
      </c>
      <c r="H176" s="6">
        <v>5160.92</v>
      </c>
      <c r="I176" s="6">
        <v>51.61</v>
      </c>
      <c r="J176" s="6">
        <v>5109.3100000000004</v>
      </c>
      <c r="K176" t="s">
        <v>63</v>
      </c>
    </row>
    <row r="177" spans="1:11" x14ac:dyDescent="0.35">
      <c r="A177" t="s">
        <v>384</v>
      </c>
      <c r="B177" t="s">
        <v>60</v>
      </c>
      <c r="C177" s="3">
        <v>46093</v>
      </c>
      <c r="D177" t="s">
        <v>8</v>
      </c>
      <c r="E177" t="s">
        <v>30</v>
      </c>
      <c r="F177" t="s">
        <v>391</v>
      </c>
      <c r="G177" t="s">
        <v>205</v>
      </c>
      <c r="H177" s="6">
        <v>252.33</v>
      </c>
      <c r="I177" s="6">
        <v>2.52</v>
      </c>
      <c r="J177" s="6">
        <v>249.81</v>
      </c>
      <c r="K177" t="s">
        <v>63</v>
      </c>
    </row>
    <row r="178" spans="1:11" x14ac:dyDescent="0.35">
      <c r="A178" t="s">
        <v>384</v>
      </c>
      <c r="B178" t="s">
        <v>60</v>
      </c>
      <c r="C178" s="3">
        <v>46093</v>
      </c>
      <c r="D178" t="s">
        <v>5</v>
      </c>
      <c r="E178" t="s">
        <v>38</v>
      </c>
      <c r="F178" t="s">
        <v>392</v>
      </c>
      <c r="G178" t="s">
        <v>191</v>
      </c>
      <c r="H178" s="6">
        <v>6605.62</v>
      </c>
      <c r="I178" s="6">
        <v>66.06</v>
      </c>
      <c r="J178" s="6">
        <v>6539.56</v>
      </c>
      <c r="K178" t="s">
        <v>63</v>
      </c>
    </row>
    <row r="179" spans="1:11" x14ac:dyDescent="0.35">
      <c r="A179" t="s">
        <v>384</v>
      </c>
      <c r="B179" t="s">
        <v>60</v>
      </c>
      <c r="C179" s="3">
        <v>46093</v>
      </c>
      <c r="D179" t="s">
        <v>7</v>
      </c>
      <c r="E179" t="s">
        <v>34</v>
      </c>
      <c r="F179" t="s">
        <v>393</v>
      </c>
      <c r="G179" t="s">
        <v>394</v>
      </c>
      <c r="H179" s="6">
        <v>8501.69</v>
      </c>
      <c r="I179" s="6">
        <v>0</v>
      </c>
      <c r="J179" s="6">
        <v>8501.69</v>
      </c>
      <c r="K179" t="s">
        <v>63</v>
      </c>
    </row>
    <row r="180" spans="1:11" x14ac:dyDescent="0.35">
      <c r="A180" t="s">
        <v>384</v>
      </c>
      <c r="B180" t="s">
        <v>60</v>
      </c>
      <c r="C180" s="3">
        <v>46093</v>
      </c>
      <c r="D180" t="s">
        <v>7</v>
      </c>
      <c r="E180" t="s">
        <v>32</v>
      </c>
      <c r="F180" t="s">
        <v>395</v>
      </c>
      <c r="G180" t="s">
        <v>396</v>
      </c>
      <c r="H180" s="6">
        <v>4502.95</v>
      </c>
      <c r="I180" s="6">
        <v>45.03</v>
      </c>
      <c r="J180" s="6">
        <v>4457.92</v>
      </c>
      <c r="K180" t="s">
        <v>63</v>
      </c>
    </row>
    <row r="181" spans="1:11" x14ac:dyDescent="0.35">
      <c r="A181" t="s">
        <v>384</v>
      </c>
      <c r="B181" t="s">
        <v>60</v>
      </c>
      <c r="C181" s="3">
        <v>46093</v>
      </c>
      <c r="D181" t="s">
        <v>5</v>
      </c>
      <c r="E181" t="s">
        <v>36</v>
      </c>
      <c r="F181" t="s">
        <v>397</v>
      </c>
      <c r="G181" t="s">
        <v>398</v>
      </c>
      <c r="H181" s="6">
        <v>4935.71</v>
      </c>
      <c r="I181" s="6">
        <v>0</v>
      </c>
      <c r="J181" s="6">
        <v>4935.71</v>
      </c>
      <c r="K181" t="s">
        <v>63</v>
      </c>
    </row>
    <row r="182" spans="1:11" x14ac:dyDescent="0.35">
      <c r="A182" t="s">
        <v>384</v>
      </c>
      <c r="B182" t="s">
        <v>60</v>
      </c>
      <c r="C182" s="3">
        <v>46093</v>
      </c>
      <c r="D182" t="s">
        <v>5</v>
      </c>
      <c r="E182" t="s">
        <v>12</v>
      </c>
      <c r="F182" t="s">
        <v>399</v>
      </c>
      <c r="G182" t="s">
        <v>332</v>
      </c>
      <c r="H182" s="6">
        <v>6832.86</v>
      </c>
      <c r="I182" s="6">
        <v>0</v>
      </c>
      <c r="J182" s="6">
        <v>6832.86</v>
      </c>
      <c r="K182" t="s">
        <v>63</v>
      </c>
    </row>
    <row r="183" spans="1:11" x14ac:dyDescent="0.35">
      <c r="A183" t="s">
        <v>384</v>
      </c>
      <c r="B183" t="s">
        <v>60</v>
      </c>
      <c r="C183" s="3">
        <v>46093</v>
      </c>
      <c r="D183" t="s">
        <v>140</v>
      </c>
      <c r="E183" t="s">
        <v>187</v>
      </c>
      <c r="F183" t="s">
        <v>400</v>
      </c>
      <c r="G183" t="s">
        <v>242</v>
      </c>
      <c r="H183" s="6">
        <v>3680.64</v>
      </c>
      <c r="I183" s="6">
        <v>36.81</v>
      </c>
      <c r="J183" s="6">
        <v>3643.83</v>
      </c>
      <c r="K183" t="s">
        <v>63</v>
      </c>
    </row>
    <row r="184" spans="1:11" x14ac:dyDescent="0.35">
      <c r="A184" t="s">
        <v>384</v>
      </c>
      <c r="B184" t="s">
        <v>60</v>
      </c>
      <c r="C184" s="3">
        <v>46093</v>
      </c>
      <c r="D184" t="s">
        <v>6</v>
      </c>
      <c r="E184" t="s">
        <v>18</v>
      </c>
      <c r="F184" t="s">
        <v>401</v>
      </c>
      <c r="G184" t="s">
        <v>402</v>
      </c>
      <c r="H184" s="6">
        <v>837.6</v>
      </c>
      <c r="I184" s="6">
        <v>8.3800000000000008</v>
      </c>
      <c r="J184" s="6">
        <v>829.22</v>
      </c>
      <c r="K184" t="s">
        <v>63</v>
      </c>
    </row>
    <row r="185" spans="1:11" x14ac:dyDescent="0.35">
      <c r="A185" t="s">
        <v>384</v>
      </c>
      <c r="B185" t="s">
        <v>60</v>
      </c>
      <c r="C185" s="3">
        <v>46093</v>
      </c>
      <c r="D185" t="s">
        <v>5</v>
      </c>
      <c r="E185" t="s">
        <v>20</v>
      </c>
      <c r="F185" t="s">
        <v>403</v>
      </c>
      <c r="G185" t="s">
        <v>404</v>
      </c>
      <c r="H185" s="6">
        <v>7704.59</v>
      </c>
      <c r="I185" s="6">
        <v>77.05</v>
      </c>
      <c r="J185" s="6">
        <v>7627.54</v>
      </c>
      <c r="K185" t="s">
        <v>63</v>
      </c>
    </row>
    <row r="186" spans="1:11" x14ac:dyDescent="0.35">
      <c r="A186" t="s">
        <v>405</v>
      </c>
      <c r="B186" t="s">
        <v>84</v>
      </c>
      <c r="C186" s="3">
        <v>46093</v>
      </c>
      <c r="D186" t="s">
        <v>5</v>
      </c>
      <c r="E186" t="s">
        <v>47</v>
      </c>
      <c r="F186" t="s">
        <v>103</v>
      </c>
      <c r="G186" t="s">
        <v>74</v>
      </c>
      <c r="H186" s="6">
        <v>4282.37</v>
      </c>
      <c r="I186" s="6">
        <v>42.82</v>
      </c>
      <c r="J186" s="6">
        <v>4239.55</v>
      </c>
      <c r="K186" t="s">
        <v>63</v>
      </c>
    </row>
    <row r="187" spans="1:11" x14ac:dyDescent="0.35">
      <c r="A187" t="s">
        <v>405</v>
      </c>
      <c r="B187" t="s">
        <v>84</v>
      </c>
      <c r="C187" s="3">
        <v>46093</v>
      </c>
      <c r="D187" t="s">
        <v>8</v>
      </c>
      <c r="E187" t="s">
        <v>39</v>
      </c>
      <c r="F187" t="s">
        <v>406</v>
      </c>
      <c r="G187" t="s">
        <v>390</v>
      </c>
      <c r="H187" s="6">
        <v>1662.05</v>
      </c>
      <c r="I187" s="6">
        <v>0</v>
      </c>
      <c r="J187" s="6">
        <v>1662.05</v>
      </c>
      <c r="K187" t="s">
        <v>63</v>
      </c>
    </row>
    <row r="188" spans="1:11" x14ac:dyDescent="0.35">
      <c r="A188" t="s">
        <v>405</v>
      </c>
      <c r="B188" t="s">
        <v>84</v>
      </c>
      <c r="C188" s="3">
        <v>46093</v>
      </c>
      <c r="D188" t="s">
        <v>8</v>
      </c>
      <c r="E188" t="s">
        <v>39</v>
      </c>
      <c r="F188" t="s">
        <v>407</v>
      </c>
      <c r="G188" t="s">
        <v>408</v>
      </c>
      <c r="H188" s="6">
        <v>2454.39</v>
      </c>
      <c r="I188" s="6">
        <v>24.54</v>
      </c>
      <c r="J188" s="6">
        <v>2429.85</v>
      </c>
      <c r="K188" t="s">
        <v>63</v>
      </c>
    </row>
    <row r="189" spans="1:11" x14ac:dyDescent="0.35">
      <c r="A189" t="s">
        <v>405</v>
      </c>
      <c r="B189" t="s">
        <v>84</v>
      </c>
      <c r="C189" s="3">
        <v>46093</v>
      </c>
      <c r="D189" t="s">
        <v>5</v>
      </c>
      <c r="E189" t="s">
        <v>33</v>
      </c>
      <c r="F189" t="s">
        <v>409</v>
      </c>
      <c r="G189" t="s">
        <v>410</v>
      </c>
      <c r="H189" s="6">
        <v>5304.37</v>
      </c>
      <c r="I189" s="6">
        <v>53.04</v>
      </c>
      <c r="J189" s="6">
        <v>5251.33</v>
      </c>
      <c r="K189" t="s">
        <v>63</v>
      </c>
    </row>
    <row r="190" spans="1:11" x14ac:dyDescent="0.35">
      <c r="A190" t="s">
        <v>405</v>
      </c>
      <c r="B190" t="s">
        <v>84</v>
      </c>
      <c r="C190" s="3">
        <v>46093</v>
      </c>
      <c r="D190" t="s">
        <v>5</v>
      </c>
      <c r="E190" t="s">
        <v>16</v>
      </c>
      <c r="F190" t="s">
        <v>411</v>
      </c>
      <c r="G190" t="s">
        <v>412</v>
      </c>
      <c r="H190" s="6">
        <v>6553.25</v>
      </c>
      <c r="I190" s="6">
        <v>65.53</v>
      </c>
      <c r="J190" s="6">
        <v>6487.72</v>
      </c>
      <c r="K190" t="s">
        <v>63</v>
      </c>
    </row>
    <row r="191" spans="1:11" x14ac:dyDescent="0.35">
      <c r="A191" t="s">
        <v>405</v>
      </c>
      <c r="B191" t="s">
        <v>84</v>
      </c>
      <c r="C191" s="3">
        <v>46093</v>
      </c>
      <c r="D191" t="s">
        <v>5</v>
      </c>
      <c r="E191" t="s">
        <v>28</v>
      </c>
      <c r="F191" t="s">
        <v>190</v>
      </c>
      <c r="G191" t="s">
        <v>413</v>
      </c>
      <c r="H191" s="6">
        <v>3945.85</v>
      </c>
      <c r="I191" s="6">
        <v>39.46</v>
      </c>
      <c r="J191" s="6">
        <v>3906.39</v>
      </c>
      <c r="K191" t="s">
        <v>63</v>
      </c>
    </row>
    <row r="192" spans="1:11" x14ac:dyDescent="0.35">
      <c r="A192" t="s">
        <v>405</v>
      </c>
      <c r="B192" t="s">
        <v>84</v>
      </c>
      <c r="C192" s="3">
        <v>46093</v>
      </c>
      <c r="D192" t="s">
        <v>6</v>
      </c>
      <c r="E192" t="s">
        <v>11</v>
      </c>
      <c r="F192" t="s">
        <v>414</v>
      </c>
      <c r="G192" t="s">
        <v>246</v>
      </c>
      <c r="H192" s="6">
        <v>5208.2700000000004</v>
      </c>
      <c r="I192" s="6">
        <v>52.08</v>
      </c>
      <c r="J192" s="6">
        <v>5156.1899999999996</v>
      </c>
      <c r="K192" t="s">
        <v>63</v>
      </c>
    </row>
    <row r="193" spans="1:11" x14ac:dyDescent="0.35">
      <c r="A193" t="s">
        <v>405</v>
      </c>
      <c r="B193" t="s">
        <v>84</v>
      </c>
      <c r="C193" s="3">
        <v>46093</v>
      </c>
      <c r="D193" t="s">
        <v>5</v>
      </c>
      <c r="E193" t="s">
        <v>14</v>
      </c>
      <c r="F193" t="s">
        <v>415</v>
      </c>
      <c r="G193" t="s">
        <v>254</v>
      </c>
      <c r="H193" s="6">
        <v>8032.94</v>
      </c>
      <c r="I193" s="6">
        <v>80.33</v>
      </c>
      <c r="J193" s="6">
        <v>7952.61</v>
      </c>
      <c r="K193" t="s">
        <v>63</v>
      </c>
    </row>
    <row r="194" spans="1:11" x14ac:dyDescent="0.35">
      <c r="A194" t="s">
        <v>416</v>
      </c>
      <c r="B194" t="s">
        <v>60</v>
      </c>
      <c r="C194" s="3">
        <v>46094</v>
      </c>
      <c r="D194" t="s">
        <v>6</v>
      </c>
      <c r="E194" t="s">
        <v>26</v>
      </c>
      <c r="F194" t="s">
        <v>417</v>
      </c>
      <c r="G194" t="s">
        <v>418</v>
      </c>
      <c r="H194" s="6">
        <v>4402.9399999999996</v>
      </c>
      <c r="I194" s="6">
        <v>44.03</v>
      </c>
      <c r="J194" s="6">
        <v>4358.91</v>
      </c>
      <c r="K194" t="s">
        <v>63</v>
      </c>
    </row>
    <row r="195" spans="1:11" x14ac:dyDescent="0.35">
      <c r="A195" t="s">
        <v>416</v>
      </c>
      <c r="B195" t="s">
        <v>60</v>
      </c>
      <c r="C195" s="3">
        <v>46094</v>
      </c>
      <c r="D195" t="s">
        <v>6</v>
      </c>
      <c r="E195" t="s">
        <v>44</v>
      </c>
      <c r="F195" t="s">
        <v>419</v>
      </c>
      <c r="G195" t="s">
        <v>203</v>
      </c>
      <c r="H195" s="6">
        <v>1470.58</v>
      </c>
      <c r="I195" s="6">
        <v>14.71</v>
      </c>
      <c r="J195" s="6">
        <v>1455.87</v>
      </c>
      <c r="K195" t="s">
        <v>63</v>
      </c>
    </row>
    <row r="196" spans="1:11" x14ac:dyDescent="0.35">
      <c r="A196" t="s">
        <v>416</v>
      </c>
      <c r="B196" t="s">
        <v>60</v>
      </c>
      <c r="C196" s="3">
        <v>46094</v>
      </c>
      <c r="D196" t="s">
        <v>7</v>
      </c>
      <c r="E196" t="s">
        <v>29</v>
      </c>
      <c r="F196" t="s">
        <v>420</v>
      </c>
      <c r="G196" t="s">
        <v>388</v>
      </c>
      <c r="H196" s="6">
        <v>4127.9799999999996</v>
      </c>
      <c r="I196" s="6">
        <v>0</v>
      </c>
      <c r="J196" s="6">
        <v>4127.9799999999996</v>
      </c>
      <c r="K196" t="s">
        <v>63</v>
      </c>
    </row>
    <row r="197" spans="1:11" x14ac:dyDescent="0.35">
      <c r="A197" t="s">
        <v>416</v>
      </c>
      <c r="B197" t="s">
        <v>60</v>
      </c>
      <c r="C197" s="3">
        <v>46094</v>
      </c>
      <c r="D197" t="s">
        <v>7</v>
      </c>
      <c r="E197" t="s">
        <v>21</v>
      </c>
      <c r="F197" t="s">
        <v>421</v>
      </c>
      <c r="G197" t="s">
        <v>422</v>
      </c>
      <c r="H197" s="6">
        <v>8753.73</v>
      </c>
      <c r="I197" s="6">
        <v>87.54</v>
      </c>
      <c r="J197" s="6">
        <v>8666.19</v>
      </c>
      <c r="K197" t="s">
        <v>63</v>
      </c>
    </row>
    <row r="198" spans="1:11" x14ac:dyDescent="0.35">
      <c r="A198" t="s">
        <v>416</v>
      </c>
      <c r="B198" t="s">
        <v>60</v>
      </c>
      <c r="C198" s="3">
        <v>46094</v>
      </c>
      <c r="D198" t="s">
        <v>5</v>
      </c>
      <c r="E198" t="s">
        <v>40</v>
      </c>
      <c r="F198" t="s">
        <v>423</v>
      </c>
      <c r="G198" t="s">
        <v>133</v>
      </c>
      <c r="H198" s="6">
        <v>579.09</v>
      </c>
      <c r="I198" s="6">
        <v>5.79</v>
      </c>
      <c r="J198" s="6">
        <v>573.29999999999995</v>
      </c>
      <c r="K198" t="s">
        <v>63</v>
      </c>
    </row>
    <row r="199" spans="1:11" x14ac:dyDescent="0.35">
      <c r="A199" t="s">
        <v>416</v>
      </c>
      <c r="B199" t="s">
        <v>60</v>
      </c>
      <c r="C199" s="3">
        <v>46094</v>
      </c>
      <c r="D199" t="s">
        <v>6</v>
      </c>
      <c r="E199" t="s">
        <v>13</v>
      </c>
      <c r="F199" t="s">
        <v>424</v>
      </c>
      <c r="G199" t="s">
        <v>321</v>
      </c>
      <c r="H199" s="6">
        <v>8870.31</v>
      </c>
      <c r="I199" s="6">
        <v>88.7</v>
      </c>
      <c r="J199" s="6">
        <v>8781.61</v>
      </c>
      <c r="K199" t="s">
        <v>63</v>
      </c>
    </row>
    <row r="200" spans="1:11" x14ac:dyDescent="0.35">
      <c r="A200" t="s">
        <v>416</v>
      </c>
      <c r="B200" t="s">
        <v>60</v>
      </c>
      <c r="C200" s="3">
        <v>46094</v>
      </c>
      <c r="D200" t="s">
        <v>5</v>
      </c>
      <c r="E200" t="s">
        <v>33</v>
      </c>
      <c r="F200" t="s">
        <v>425</v>
      </c>
      <c r="G200" t="s">
        <v>426</v>
      </c>
      <c r="H200" s="6">
        <v>1742.27</v>
      </c>
      <c r="I200" s="6">
        <v>17.420000000000002</v>
      </c>
      <c r="J200" s="6">
        <v>1724.85</v>
      </c>
      <c r="K200" t="s">
        <v>63</v>
      </c>
    </row>
    <row r="201" spans="1:11" x14ac:dyDescent="0.35">
      <c r="A201" t="s">
        <v>416</v>
      </c>
      <c r="B201" t="s">
        <v>60</v>
      </c>
      <c r="C201" s="3">
        <v>46094</v>
      </c>
      <c r="D201" t="s">
        <v>6</v>
      </c>
      <c r="E201" t="s">
        <v>10</v>
      </c>
      <c r="F201" t="s">
        <v>427</v>
      </c>
      <c r="G201" t="s">
        <v>109</v>
      </c>
      <c r="H201" s="6">
        <v>7492.31</v>
      </c>
      <c r="I201" s="6">
        <v>0</v>
      </c>
      <c r="J201" s="6">
        <v>7492.31</v>
      </c>
      <c r="K201" t="s">
        <v>63</v>
      </c>
    </row>
    <row r="202" spans="1:11" x14ac:dyDescent="0.35">
      <c r="A202" t="s">
        <v>416</v>
      </c>
      <c r="B202" t="s">
        <v>60</v>
      </c>
      <c r="C202" s="3">
        <v>46094</v>
      </c>
      <c r="D202" t="s">
        <v>5</v>
      </c>
      <c r="E202" t="s">
        <v>23</v>
      </c>
      <c r="F202" t="s">
        <v>335</v>
      </c>
      <c r="G202" t="s">
        <v>428</v>
      </c>
      <c r="H202" s="6">
        <v>3427.46</v>
      </c>
      <c r="I202" s="6">
        <v>34.270000000000003</v>
      </c>
      <c r="J202" s="6">
        <v>3393.19</v>
      </c>
      <c r="K202" t="s">
        <v>63</v>
      </c>
    </row>
    <row r="203" spans="1:11" x14ac:dyDescent="0.35">
      <c r="A203" t="s">
        <v>416</v>
      </c>
      <c r="B203" t="s">
        <v>60</v>
      </c>
      <c r="C203" s="3">
        <v>46094</v>
      </c>
      <c r="D203" t="s">
        <v>6</v>
      </c>
      <c r="E203" t="s">
        <v>15</v>
      </c>
      <c r="F203" t="s">
        <v>429</v>
      </c>
      <c r="G203" t="s">
        <v>430</v>
      </c>
      <c r="H203" s="6">
        <v>2767.59</v>
      </c>
      <c r="I203" s="6">
        <v>27.68</v>
      </c>
      <c r="J203" s="6">
        <v>2739.91</v>
      </c>
      <c r="K203" t="s">
        <v>63</v>
      </c>
    </row>
    <row r="204" spans="1:11" x14ac:dyDescent="0.35">
      <c r="A204" t="s">
        <v>416</v>
      </c>
      <c r="B204" t="s">
        <v>60</v>
      </c>
      <c r="C204" s="3">
        <v>46094</v>
      </c>
      <c r="D204" t="s">
        <v>7</v>
      </c>
      <c r="E204" t="s">
        <v>29</v>
      </c>
      <c r="F204" t="s">
        <v>431</v>
      </c>
      <c r="G204" t="s">
        <v>388</v>
      </c>
      <c r="H204" s="6">
        <v>7207.13</v>
      </c>
      <c r="I204" s="6">
        <v>72.069999999999993</v>
      </c>
      <c r="J204" s="6">
        <v>7135.06</v>
      </c>
      <c r="K204" t="s">
        <v>63</v>
      </c>
    </row>
    <row r="205" spans="1:11" x14ac:dyDescent="0.35">
      <c r="A205" t="s">
        <v>416</v>
      </c>
      <c r="B205" t="s">
        <v>60</v>
      </c>
      <c r="C205" s="3">
        <v>46094</v>
      </c>
      <c r="D205" t="s">
        <v>5</v>
      </c>
      <c r="E205" t="s">
        <v>14</v>
      </c>
      <c r="F205" t="s">
        <v>432</v>
      </c>
      <c r="G205" t="s">
        <v>254</v>
      </c>
      <c r="H205" s="6">
        <v>6283.47</v>
      </c>
      <c r="I205" s="6">
        <v>0</v>
      </c>
      <c r="J205" s="6">
        <v>6283.47</v>
      </c>
      <c r="K205" t="s">
        <v>63</v>
      </c>
    </row>
    <row r="206" spans="1:11" x14ac:dyDescent="0.35">
      <c r="A206" t="s">
        <v>433</v>
      </c>
      <c r="B206" t="s">
        <v>84</v>
      </c>
      <c r="C206" s="3">
        <v>46094</v>
      </c>
      <c r="D206" t="s">
        <v>7</v>
      </c>
      <c r="E206" t="s">
        <v>29</v>
      </c>
      <c r="F206" t="s">
        <v>434</v>
      </c>
      <c r="G206" t="s">
        <v>135</v>
      </c>
      <c r="H206" s="6">
        <v>7628.57</v>
      </c>
      <c r="I206" s="6">
        <v>76.290000000000006</v>
      </c>
      <c r="J206" s="6">
        <v>7552.28</v>
      </c>
      <c r="K206" t="s">
        <v>63</v>
      </c>
    </row>
    <row r="207" spans="1:11" x14ac:dyDescent="0.35">
      <c r="A207" t="s">
        <v>433</v>
      </c>
      <c r="B207" t="s">
        <v>84</v>
      </c>
      <c r="C207" s="3">
        <v>46094</v>
      </c>
      <c r="D207" t="s">
        <v>7</v>
      </c>
      <c r="E207" t="s">
        <v>29</v>
      </c>
      <c r="F207" t="s">
        <v>435</v>
      </c>
      <c r="G207" t="s">
        <v>436</v>
      </c>
      <c r="H207" s="6">
        <v>2905.45</v>
      </c>
      <c r="I207" s="6">
        <v>29.05</v>
      </c>
      <c r="J207" s="6">
        <v>2876.4</v>
      </c>
      <c r="K207" t="s">
        <v>63</v>
      </c>
    </row>
    <row r="208" spans="1:11" x14ac:dyDescent="0.35">
      <c r="A208" t="s">
        <v>433</v>
      </c>
      <c r="B208" t="s">
        <v>84</v>
      </c>
      <c r="C208" s="3">
        <v>46094</v>
      </c>
      <c r="D208" t="s">
        <v>140</v>
      </c>
      <c r="E208" t="s">
        <v>141</v>
      </c>
      <c r="F208" t="s">
        <v>437</v>
      </c>
      <c r="G208" t="s">
        <v>438</v>
      </c>
      <c r="H208" s="6">
        <v>4111.87</v>
      </c>
      <c r="I208" s="6">
        <v>0</v>
      </c>
      <c r="J208" s="6">
        <v>4111.87</v>
      </c>
      <c r="K208" t="s">
        <v>63</v>
      </c>
    </row>
    <row r="209" spans="1:11" x14ac:dyDescent="0.35">
      <c r="A209" t="s">
        <v>433</v>
      </c>
      <c r="B209" t="s">
        <v>84</v>
      </c>
      <c r="C209" s="3">
        <v>46094</v>
      </c>
      <c r="D209" t="s">
        <v>6</v>
      </c>
      <c r="E209" t="s">
        <v>22</v>
      </c>
      <c r="F209" t="s">
        <v>439</v>
      </c>
      <c r="G209" t="s">
        <v>440</v>
      </c>
      <c r="H209" s="6">
        <v>4745.8599999999997</v>
      </c>
      <c r="I209" s="6">
        <v>47.46</v>
      </c>
      <c r="J209" s="6">
        <v>4698.3999999999996</v>
      </c>
      <c r="K209" t="s">
        <v>63</v>
      </c>
    </row>
    <row r="210" spans="1:11" x14ac:dyDescent="0.35">
      <c r="A210" t="s">
        <v>433</v>
      </c>
      <c r="B210" t="s">
        <v>84</v>
      </c>
      <c r="C210" s="3">
        <v>46094</v>
      </c>
      <c r="D210" t="s">
        <v>6</v>
      </c>
      <c r="E210" t="s">
        <v>44</v>
      </c>
      <c r="F210" t="s">
        <v>441</v>
      </c>
      <c r="G210" t="s">
        <v>117</v>
      </c>
      <c r="H210" s="6">
        <v>3120.02</v>
      </c>
      <c r="I210" s="6">
        <v>31.2</v>
      </c>
      <c r="J210" s="6">
        <v>3088.82</v>
      </c>
      <c r="K210" t="s">
        <v>63</v>
      </c>
    </row>
    <row r="211" spans="1:11" x14ac:dyDescent="0.35">
      <c r="A211" t="s">
        <v>433</v>
      </c>
      <c r="B211" t="s">
        <v>84</v>
      </c>
      <c r="C211" s="3">
        <v>46094</v>
      </c>
      <c r="D211" t="s">
        <v>6</v>
      </c>
      <c r="E211" t="s">
        <v>15</v>
      </c>
      <c r="F211" t="s">
        <v>442</v>
      </c>
      <c r="G211" t="s">
        <v>263</v>
      </c>
      <c r="H211" s="6">
        <v>2510.5700000000002</v>
      </c>
      <c r="I211" s="6">
        <v>0</v>
      </c>
      <c r="J211" s="6">
        <v>2510.5700000000002</v>
      </c>
      <c r="K211" t="s">
        <v>63</v>
      </c>
    </row>
    <row r="212" spans="1:11" x14ac:dyDescent="0.35">
      <c r="A212" t="s">
        <v>433</v>
      </c>
      <c r="B212" t="s">
        <v>84</v>
      </c>
      <c r="C212" s="3">
        <v>46094</v>
      </c>
      <c r="D212" t="s">
        <v>5</v>
      </c>
      <c r="E212" t="s">
        <v>16</v>
      </c>
      <c r="F212" t="s">
        <v>443</v>
      </c>
      <c r="G212" t="s">
        <v>101</v>
      </c>
      <c r="H212" s="6">
        <v>917.73</v>
      </c>
      <c r="I212" s="6">
        <v>0</v>
      </c>
      <c r="J212" s="6">
        <v>917.73</v>
      </c>
      <c r="K212" t="s">
        <v>63</v>
      </c>
    </row>
    <row r="213" spans="1:11" x14ac:dyDescent="0.35">
      <c r="A213" t="s">
        <v>433</v>
      </c>
      <c r="B213" t="s">
        <v>84</v>
      </c>
      <c r="C213" s="3">
        <v>46094</v>
      </c>
      <c r="D213" t="s">
        <v>6</v>
      </c>
      <c r="E213" t="s">
        <v>44</v>
      </c>
      <c r="F213" t="s">
        <v>444</v>
      </c>
      <c r="G213" t="s">
        <v>445</v>
      </c>
      <c r="H213" s="6">
        <v>4100.33</v>
      </c>
      <c r="I213" s="6">
        <v>41</v>
      </c>
      <c r="J213" s="6">
        <v>4059.33</v>
      </c>
      <c r="K213" t="s">
        <v>63</v>
      </c>
    </row>
    <row r="214" spans="1:11" x14ac:dyDescent="0.35">
      <c r="A214" t="s">
        <v>433</v>
      </c>
      <c r="B214" t="s">
        <v>84</v>
      </c>
      <c r="C214" s="3">
        <v>46094</v>
      </c>
      <c r="D214" t="s">
        <v>5</v>
      </c>
      <c r="E214" t="s">
        <v>25</v>
      </c>
      <c r="F214" t="s">
        <v>446</v>
      </c>
      <c r="G214" t="s">
        <v>326</v>
      </c>
      <c r="H214" s="6">
        <v>6266.29</v>
      </c>
      <c r="I214" s="6">
        <v>62.66</v>
      </c>
      <c r="J214" s="6">
        <v>6203.63</v>
      </c>
      <c r="K214" t="s">
        <v>63</v>
      </c>
    </row>
    <row r="215" spans="1:11" x14ac:dyDescent="0.35">
      <c r="A215" t="s">
        <v>433</v>
      </c>
      <c r="B215" t="s">
        <v>84</v>
      </c>
      <c r="C215" s="3">
        <v>46094</v>
      </c>
      <c r="D215" t="s">
        <v>5</v>
      </c>
      <c r="E215" t="s">
        <v>43</v>
      </c>
      <c r="F215" t="s">
        <v>447</v>
      </c>
      <c r="G215" t="s">
        <v>159</v>
      </c>
      <c r="H215" s="6">
        <v>2076.77</v>
      </c>
      <c r="I215" s="6">
        <v>20.77</v>
      </c>
      <c r="J215" s="6">
        <v>2056</v>
      </c>
      <c r="K215" t="s">
        <v>63</v>
      </c>
    </row>
    <row r="216" spans="1:11" x14ac:dyDescent="0.35">
      <c r="A216" t="s">
        <v>433</v>
      </c>
      <c r="B216" t="s">
        <v>84</v>
      </c>
      <c r="C216" s="3">
        <v>46094</v>
      </c>
      <c r="D216" t="s">
        <v>5</v>
      </c>
      <c r="E216" t="s">
        <v>9</v>
      </c>
      <c r="F216" t="s">
        <v>448</v>
      </c>
      <c r="G216" t="s">
        <v>233</v>
      </c>
      <c r="H216" s="6">
        <v>8629.9699999999993</v>
      </c>
      <c r="I216" s="6">
        <v>0</v>
      </c>
      <c r="J216" s="6">
        <v>8629.9699999999993</v>
      </c>
      <c r="K216" t="s">
        <v>63</v>
      </c>
    </row>
    <row r="217" spans="1:11" x14ac:dyDescent="0.35">
      <c r="A217" t="s">
        <v>433</v>
      </c>
      <c r="B217" t="s">
        <v>84</v>
      </c>
      <c r="C217" s="3">
        <v>46094</v>
      </c>
      <c r="D217" t="s">
        <v>6</v>
      </c>
      <c r="E217" t="s">
        <v>46</v>
      </c>
      <c r="F217" t="s">
        <v>368</v>
      </c>
      <c r="G217" t="s">
        <v>449</v>
      </c>
      <c r="H217" s="6">
        <v>2977.96</v>
      </c>
      <c r="I217" s="6">
        <v>29.78</v>
      </c>
      <c r="J217" s="6">
        <v>2948.18</v>
      </c>
      <c r="K217" t="s">
        <v>63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E39B5-D515-43E8-A3DF-4CEF87F160AA}">
  <dimension ref="A1:B41"/>
  <sheetViews>
    <sheetView topLeftCell="A2" workbookViewId="0">
      <selection activeCell="A2" sqref="A2:B41"/>
    </sheetView>
  </sheetViews>
  <sheetFormatPr defaultRowHeight="14.5" x14ac:dyDescent="0.35"/>
  <cols>
    <col min="1" max="1" width="10.81640625" style="1" bestFit="1" customWidth="1"/>
    <col min="2" max="2" width="17.26953125" bestFit="1" customWidth="1"/>
  </cols>
  <sheetData>
    <row r="1" spans="1:2" x14ac:dyDescent="0.35">
      <c r="A1" t="s">
        <v>3</v>
      </c>
      <c r="B1" t="s">
        <v>4</v>
      </c>
    </row>
    <row r="2" spans="1:2" x14ac:dyDescent="0.35">
      <c r="A2" s="1" t="s">
        <v>9</v>
      </c>
      <c r="B2" t="s">
        <v>5</v>
      </c>
    </row>
    <row r="3" spans="1:2" x14ac:dyDescent="0.35">
      <c r="A3" s="1" t="s">
        <v>10</v>
      </c>
      <c r="B3" t="s">
        <v>6</v>
      </c>
    </row>
    <row r="4" spans="1:2" x14ac:dyDescent="0.35">
      <c r="A4" s="1" t="s">
        <v>11</v>
      </c>
      <c r="B4" t="s">
        <v>6</v>
      </c>
    </row>
    <row r="5" spans="1:2" x14ac:dyDescent="0.35">
      <c r="A5" s="1" t="s">
        <v>12</v>
      </c>
      <c r="B5" t="s">
        <v>5</v>
      </c>
    </row>
    <row r="6" spans="1:2" x14ac:dyDescent="0.35">
      <c r="A6" s="1" t="s">
        <v>13</v>
      </c>
      <c r="B6" t="s">
        <v>6</v>
      </c>
    </row>
    <row r="7" spans="1:2" x14ac:dyDescent="0.35">
      <c r="A7" s="1" t="s">
        <v>14</v>
      </c>
      <c r="B7" t="s">
        <v>5</v>
      </c>
    </row>
    <row r="8" spans="1:2" x14ac:dyDescent="0.35">
      <c r="A8" s="1" t="s">
        <v>15</v>
      </c>
      <c r="B8" t="s">
        <v>6</v>
      </c>
    </row>
    <row r="9" spans="1:2" x14ac:dyDescent="0.35">
      <c r="A9" s="1" t="s">
        <v>16</v>
      </c>
      <c r="B9" t="s">
        <v>5</v>
      </c>
    </row>
    <row r="10" spans="1:2" x14ac:dyDescent="0.35">
      <c r="A10" s="1" t="s">
        <v>17</v>
      </c>
      <c r="B10" t="s">
        <v>7</v>
      </c>
    </row>
    <row r="11" spans="1:2" x14ac:dyDescent="0.35">
      <c r="A11" s="1" t="s">
        <v>18</v>
      </c>
      <c r="B11" t="s">
        <v>6</v>
      </c>
    </row>
    <row r="12" spans="1:2" x14ac:dyDescent="0.35">
      <c r="A12" s="1" t="s">
        <v>19</v>
      </c>
      <c r="B12" t="s">
        <v>5</v>
      </c>
    </row>
    <row r="13" spans="1:2" x14ac:dyDescent="0.35">
      <c r="A13" s="1" t="s">
        <v>20</v>
      </c>
      <c r="B13" t="s">
        <v>5</v>
      </c>
    </row>
    <row r="14" spans="1:2" x14ac:dyDescent="0.35">
      <c r="A14" s="1" t="s">
        <v>21</v>
      </c>
      <c r="B14" t="s">
        <v>7</v>
      </c>
    </row>
    <row r="15" spans="1:2" x14ac:dyDescent="0.35">
      <c r="A15" s="1" t="s">
        <v>22</v>
      </c>
      <c r="B15" t="s">
        <v>6</v>
      </c>
    </row>
    <row r="16" spans="1:2" x14ac:dyDescent="0.35">
      <c r="A16" s="1" t="s">
        <v>23</v>
      </c>
      <c r="B16" t="s">
        <v>5</v>
      </c>
    </row>
    <row r="17" spans="1:2" x14ac:dyDescent="0.35">
      <c r="A17" s="1" t="s">
        <v>24</v>
      </c>
      <c r="B17" t="s">
        <v>5</v>
      </c>
    </row>
    <row r="18" spans="1:2" x14ac:dyDescent="0.35">
      <c r="A18" s="1" t="s">
        <v>25</v>
      </c>
      <c r="B18" t="s">
        <v>5</v>
      </c>
    </row>
    <row r="19" spans="1:2" x14ac:dyDescent="0.35">
      <c r="A19" s="1" t="s">
        <v>26</v>
      </c>
      <c r="B19" t="s">
        <v>6</v>
      </c>
    </row>
    <row r="20" spans="1:2" x14ac:dyDescent="0.35">
      <c r="A20" s="1" t="s">
        <v>27</v>
      </c>
      <c r="B20" t="s">
        <v>5</v>
      </c>
    </row>
    <row r="21" spans="1:2" x14ac:dyDescent="0.35">
      <c r="A21" s="1" t="s">
        <v>28</v>
      </c>
      <c r="B21" t="s">
        <v>5</v>
      </c>
    </row>
    <row r="22" spans="1:2" x14ac:dyDescent="0.35">
      <c r="A22" s="1" t="s">
        <v>29</v>
      </c>
      <c r="B22" t="s">
        <v>7</v>
      </c>
    </row>
    <row r="23" spans="1:2" x14ac:dyDescent="0.35">
      <c r="A23" s="1" t="s">
        <v>30</v>
      </c>
      <c r="B23" t="s">
        <v>8</v>
      </c>
    </row>
    <row r="24" spans="1:2" x14ac:dyDescent="0.35">
      <c r="A24" s="1" t="s">
        <v>31</v>
      </c>
      <c r="B24" t="s">
        <v>8</v>
      </c>
    </row>
    <row r="25" spans="1:2" x14ac:dyDescent="0.35">
      <c r="A25" s="1" t="s">
        <v>32</v>
      </c>
      <c r="B25" t="s">
        <v>7</v>
      </c>
    </row>
    <row r="26" spans="1:2" x14ac:dyDescent="0.35">
      <c r="A26" s="1" t="s">
        <v>33</v>
      </c>
      <c r="B26" t="s">
        <v>5</v>
      </c>
    </row>
    <row r="27" spans="1:2" x14ac:dyDescent="0.35">
      <c r="A27" s="1" t="s">
        <v>34</v>
      </c>
      <c r="B27" t="s">
        <v>7</v>
      </c>
    </row>
    <row r="28" spans="1:2" x14ac:dyDescent="0.35">
      <c r="A28" s="1" t="s">
        <v>35</v>
      </c>
      <c r="B28" t="s">
        <v>7</v>
      </c>
    </row>
    <row r="29" spans="1:2" x14ac:dyDescent="0.35">
      <c r="A29" s="1" t="s">
        <v>36</v>
      </c>
      <c r="B29" t="s">
        <v>5</v>
      </c>
    </row>
    <row r="30" spans="1:2" x14ac:dyDescent="0.35">
      <c r="A30" s="1" t="s">
        <v>37</v>
      </c>
      <c r="B30" t="s">
        <v>5</v>
      </c>
    </row>
    <row r="31" spans="1:2" x14ac:dyDescent="0.35">
      <c r="A31" s="1" t="s">
        <v>38</v>
      </c>
      <c r="B31" t="s">
        <v>5</v>
      </c>
    </row>
    <row r="32" spans="1:2" x14ac:dyDescent="0.35">
      <c r="A32" s="1" t="s">
        <v>39</v>
      </c>
      <c r="B32" t="s">
        <v>8</v>
      </c>
    </row>
    <row r="33" spans="1:2" x14ac:dyDescent="0.35">
      <c r="A33" s="1" t="s">
        <v>40</v>
      </c>
      <c r="B33" t="s">
        <v>5</v>
      </c>
    </row>
    <row r="34" spans="1:2" x14ac:dyDescent="0.35">
      <c r="A34" s="1" t="s">
        <v>41</v>
      </c>
      <c r="B34" t="s">
        <v>7</v>
      </c>
    </row>
    <row r="35" spans="1:2" x14ac:dyDescent="0.35">
      <c r="A35" s="1" t="s">
        <v>42</v>
      </c>
      <c r="B35" t="s">
        <v>6</v>
      </c>
    </row>
    <row r="36" spans="1:2" x14ac:dyDescent="0.35">
      <c r="A36" s="1" t="s">
        <v>43</v>
      </c>
      <c r="B36" t="s">
        <v>5</v>
      </c>
    </row>
    <row r="37" spans="1:2" x14ac:dyDescent="0.35">
      <c r="A37" s="1" t="s">
        <v>44</v>
      </c>
      <c r="B37" t="s">
        <v>6</v>
      </c>
    </row>
    <row r="38" spans="1:2" x14ac:dyDescent="0.35">
      <c r="A38" s="1" t="s">
        <v>45</v>
      </c>
      <c r="B38" t="s">
        <v>7</v>
      </c>
    </row>
    <row r="39" spans="1:2" x14ac:dyDescent="0.35">
      <c r="A39" s="1" t="s">
        <v>46</v>
      </c>
      <c r="B39" t="s">
        <v>6</v>
      </c>
    </row>
    <row r="40" spans="1:2" x14ac:dyDescent="0.35">
      <c r="A40" s="1" t="s">
        <v>47</v>
      </c>
      <c r="B40" t="s">
        <v>5</v>
      </c>
    </row>
    <row r="41" spans="1:2" x14ac:dyDescent="0.35">
      <c r="A41" s="1" t="s">
        <v>48</v>
      </c>
      <c r="B41" t="s">
        <v>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3148E00-8EF1-49DA-9D04-71275A19E39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Параметры</vt:lpstr>
      <vt:lpstr>Сводная</vt:lpstr>
      <vt:lpstr>Реестры</vt:lpstr>
      <vt:lpstr>Справочник договоров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Валерий Кравченко</dc:creator>
  <cp:lastModifiedBy>Валерий Кравченко</cp:lastModifiedBy>
  <dcterms:created xsi:type="dcterms:W3CDTF">2015-06-05T18:19:34Z</dcterms:created>
  <dcterms:modified xsi:type="dcterms:W3CDTF">2026-10-07T09:42:53Z</dcterms:modified>
</cp:coreProperties>
</file>